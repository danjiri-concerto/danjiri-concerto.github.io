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sheetId="1" state="visible" r:id="rId1"/>
    <sheet name="satellite" sheetId="2" state="visible" r:id="rId2"/>
    <sheet name="country" sheetId="3" state="visible" r:id="rId3"/>
    <sheet name="phase" sheetId="4" state="visible" r:id="rId4"/>
    <sheet name="type" sheetId="5" state="visible" r:id="rId5"/>
    <sheet name="board" sheetId="6" state="visible" r:id="rId6"/>
    <sheet name="board2" sheetId="7" state="visible" r:id="rId7"/>
    <sheet name="area" sheetId="8" state="visible" r:id="rId8"/>
    <sheet name="king" sheetId="9" state="visible" r:id="rId9"/>
    <sheet name="action" sheetId="10" state="visible" r:id="rId10"/>
    <sheet name="faq" sheetId="11" state="visible" r:id="rId11"/>
    <sheet name="card_condition" sheetId="12" state="visible" r:id="rId12"/>
    <sheet name="term" sheetId="13" state="visible" r:id="rId13"/>
    <sheet name="fix" sheetId="14" state="visible" r:id="rId14"/>
    <sheet name="crew" sheetId="15" state="visible" r:id="rId15"/>
    <sheet name="device" sheetId="16" state="visible" r:id="rId16"/>
    <sheet name="software" sheetId="17" state="visible" r:id="rId17"/>
    <sheet name="moon" sheetId="18" state="visible" r:id="rId18"/>
    <sheet name="blue" sheetId="19" state="visible" r:id="rId19"/>
    <sheet name="green" sheetId="20" state="visible" r:id="rId20"/>
    <sheet name="red" sheetId="21" state="visible" r:id="rId21"/>
    <sheet name="yellow" sheetId="22" state="visible" r:id="rId22"/>
    <sheet name="angle" sheetId="23" state="visible" r:id="rId23"/>
  </sheets>
  <definedNames>
    <definedName name="_xlnm._FilterDatabase" localSheetId="0" hidden="1">'project'!$C$1:$T$134</definedName>
    <definedName name="_xlnm._FilterDatabase" localSheetId="14" hidden="1">'crew'!$C$1:$T$34</definedName>
    <definedName name="_xlnm._FilterDatabase" localSheetId="15" hidden="1">'device'!$C$1:$T$34</definedName>
    <definedName name="_xlnm._FilterDatabase" localSheetId="16" hidden="1">'software'!$C$1:$T$34</definedName>
  </definedNames>
  <calcPr calcId="124519" fullCalcOnLoad="1"/>
</workbook>
</file>

<file path=xl/styles.xml><?xml version="1.0" encoding="utf-8"?>
<styleSheet xmlns="http://schemas.openxmlformats.org/spreadsheetml/2006/main">
  <numFmts count="0"/>
  <fonts count="2">
    <font>
      <name val="Arial"/>
      <color rgb="FF000000"/>
      <sz val="10"/>
      <scheme val="minor"/>
    </font>
    <font>
      <name val="Arial"/>
      <color theme="1"/>
      <scheme val="minor"/>
    </font>
  </fonts>
  <fills count="5">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1" fillId="2" borderId="0" pivotButton="0" quotePrefix="0" xfId="0"/>
    <xf numFmtId="0" fontId="1" fillId="0" borderId="0" pivotButton="0" quotePrefix="0" xfId="0"/>
    <xf numFmtId="0" fontId="1" fillId="2" borderId="0" applyAlignment="1" pivotButton="0" quotePrefix="0" xfId="0">
      <alignment wrapText="1"/>
    </xf>
    <xf numFmtId="0" fontId="1" fillId="2" borderId="0" pivotButton="0" quotePrefix="0" xfId="0"/>
    <xf numFmtId="0" fontId="1" fillId="0" borderId="0" applyAlignment="1" pivotButton="0" quotePrefix="0" xfId="0">
      <alignment wrapText="1"/>
    </xf>
    <xf numFmtId="0" fontId="1" fillId="3" borderId="0" pivotButton="0" quotePrefix="0" xfId="0"/>
    <xf numFmtId="0" fontId="1" fillId="3" borderId="0" applyAlignment="1" pivotButton="0" quotePrefix="0" xfId="0">
      <alignment wrapText="1"/>
    </xf>
    <xf numFmtId="0" fontId="1" fillId="3" borderId="0" pivotButton="0" quotePrefix="0" xfId="0"/>
    <xf numFmtId="0" fontId="1" fillId="4" borderId="0" pivotButton="0" quotePrefix="0" xfId="0"/>
    <xf numFmtId="0" fontId="1" fillId="4" borderId="0" applyAlignment="1" pivotButton="0" quotePrefix="0" xfId="0">
      <alignment wrapText="1"/>
    </xf>
    <xf numFmtId="0" fontId="1" fillId="4" borderId="0" pivotButton="0" quotePrefix="0" xfId="0"/>
    <xf numFmtId="0" fontId="1" fillId="0" borderId="0" applyAlignment="1" pivotButton="0" quotePrefix="0" xfId="0">
      <alignment wrapText="1"/>
    </xf>
    <xf numFmtId="0" fontId="1" fillId="4" borderId="0" applyAlignment="1" pivotButton="0" quotePrefix="0" xfId="0">
      <alignment horizontal="left"/>
    </xf>
    <xf numFmtId="0" fontId="1" fillId="4" borderId="0" applyAlignment="1" pivotButton="0" quotePrefix="0" xfId="0">
      <alignment wrapText="1"/>
    </xf>
    <xf numFmtId="0" fontId="1" fillId="3" borderId="0" applyAlignment="1" pivotButton="0" quotePrefix="0" xfId="0">
      <alignment wrapText="1"/>
    </xf>
    <xf numFmtId="0" fontId="0" fillId="0" borderId="0" pivotButton="0" quotePrefix="0" xfId="0"/>
  </cellXfs>
  <cellStyles count="1">
    <cellStyle name="Normal" xfId="0" builtinId="0"/>
  </cellStyles>
  <dxfs count="1">
    <dxf>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M10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起動(予算発行)</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4</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11</v>
      </c>
      <c r="I9" s="12" t="n">
        <v>2</v>
      </c>
      <c r="J9" s="12" t="n">
        <v>2</v>
      </c>
      <c r="K9" s="12" t="n">
        <v>1</v>
      </c>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6</v>
      </c>
      <c r="I14" s="9" t="n">
        <v>2</v>
      </c>
      <c r="J14" s="9" t="n">
        <v>2</v>
      </c>
      <c r="K14" s="9" t="n">
        <v>1</v>
      </c>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常時</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このカードを配備したとき、自分の非稼働の衛星のプロジェクトカードを全て好きなように付け替える。ただし、配備時の効果は発動しない。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14</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14</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14</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f>ROW()-1</f>
        <v/>
      </c>
      <c r="B35" s="12">
        <f>"P"&amp;TEXT(A35,"000")</f>
        <v/>
      </c>
      <c r="C35" s="12" t="n">
        <v>0</v>
      </c>
      <c r="D35" s="12" t="n">
        <v>3</v>
      </c>
      <c r="E35" s="12" t="n">
        <v>3</v>
      </c>
      <c r="F35" s="12">
        <f t="array" ref="F35">_xlfn.XLOOKUP(D35,phase!$A$2:$A$9,phase!$C$2:$C$9)</f>
        <v/>
      </c>
      <c r="G35" s="12">
        <f t="array" ref="G35">IF(F35="N",_xlfn.XLOOKUP(E35,phase!$A$2:$A$9,phase!$C$2:$C$9),F35)</f>
        <v/>
      </c>
      <c r="H35" s="12" t="n">
        <v>5</v>
      </c>
      <c r="I35" s="12" t="n">
        <v>3</v>
      </c>
      <c r="J35" s="12" t="n">
        <v>2</v>
      </c>
      <c r="K35" s="12" t="n"/>
      <c r="L35" s="12" t="inlineStr">
        <is>
          <t>打ち上げ時</t>
        </is>
      </c>
      <c r="M35" s="15" t="inlineStr">
        <is>
          <t>この衛星を打ち上げたとき、[マネー]を2/3/4/5支払ってもよい。そうした場合、この衛星は1/2/3/4区域分即座に進行し、該当する燃料を消費する。その際に通過した区域のニアミス判定は行われない。</t>
        </is>
      </c>
      <c r="N35" s="12" t="inlineStr">
        <is>
          <t>加速ブースター</t>
        </is>
      </c>
      <c r="O35" s="12" t="n">
        <v>34</v>
      </c>
      <c r="P35" s="12">
        <f>"P"&amp;TEXT(O35,"000")&amp;".png"</f>
        <v/>
      </c>
      <c r="Q35" s="12">
        <f>fix!$B$2 &amp; "/" &amp; P35</f>
        <v/>
      </c>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f>ROW()-1</f>
        <v/>
      </c>
      <c r="B36" s="9">
        <f>"P"&amp;TEXT(A36,"000")</f>
        <v/>
      </c>
      <c r="C36" s="9" t="n">
        <v>0</v>
      </c>
      <c r="D36" s="9" t="n">
        <v>3</v>
      </c>
      <c r="E36" s="9" t="n">
        <v>3</v>
      </c>
      <c r="F36" s="9">
        <f t="array" ref="F36">_xlfn.XLOOKUP(D36,phase!$A$2:$A$9,phase!$C$2:$C$9)</f>
        <v/>
      </c>
      <c r="G36" s="9">
        <f t="array" ref="G36">IF(F36="N",_xlfn.XLOOKUP(E36,phase!$A$2:$A$9,phase!$C$2:$C$9),F36)</f>
        <v/>
      </c>
      <c r="H36" s="9" t="n">
        <v>7</v>
      </c>
      <c r="I36" s="9" t="n">
        <v>2</v>
      </c>
      <c r="J36" s="9" t="n">
        <v>0</v>
      </c>
      <c r="K36" s="9" t="n">
        <v>1</v>
      </c>
      <c r="L36" s="9" t="inlineStr">
        <is>
          <t>打ち上げ時</t>
        </is>
      </c>
      <c r="M36" s="16"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6" s="9" t="inlineStr">
        <is>
          <t>ギャンブルシステム</t>
        </is>
      </c>
      <c r="O36" s="9" t="n">
        <v>35</v>
      </c>
      <c r="P36" s="9">
        <f>"P"&amp;TEXT(O36,"000")&amp;".png"</f>
        <v/>
      </c>
      <c r="Q36" s="9">
        <f>fix!$B$2 &amp; "/" &amp; P36</f>
        <v/>
      </c>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f>ROW()-1</f>
        <v/>
      </c>
      <c r="B37" s="12">
        <f>"P"&amp;TEXT(A37,"000")</f>
        <v/>
      </c>
      <c r="C37" s="12" t="n">
        <v>0</v>
      </c>
      <c r="D37" s="12" t="n">
        <v>3</v>
      </c>
      <c r="E37" s="12" t="n">
        <v>3</v>
      </c>
      <c r="F37" s="12">
        <f t="array" ref="F37">_xlfn.XLOOKUP(D37,phase!$A$2:$A$9,phase!$C$2:$C$9)</f>
        <v/>
      </c>
      <c r="G37" s="12">
        <f t="array" ref="G37">IF(F37="N",_xlfn.XLOOKUP(E37,phase!$A$2:$A$9,phase!$C$2:$C$9),F37)</f>
        <v/>
      </c>
      <c r="H37" s="12" t="n">
        <v>7</v>
      </c>
      <c r="I37" s="12" t="n">
        <v>2</v>
      </c>
      <c r="J37" s="12" t="n">
        <v>2</v>
      </c>
      <c r="K37" s="12" t="n"/>
      <c r="L37" s="12" t="inlineStr">
        <is>
          <t>起動(打上)</t>
        </is>
      </c>
      <c r="M37" s="15" t="inlineStr">
        <is>
          <t>自分の衛星を打ち上げるとき、その衛星に配備されているカード1枚につき打ち上げコスト-1</t>
        </is>
      </c>
      <c r="N37" s="12" t="inlineStr">
        <is>
          <t>軽量化フレーム</t>
        </is>
      </c>
      <c r="O37" s="12" t="n">
        <v>36</v>
      </c>
      <c r="P37" s="12">
        <f>"P"&amp;TEXT(O37,"000")&amp;".png"</f>
        <v/>
      </c>
      <c r="Q37" s="12">
        <f>fix!$B$2 &amp; "/" &amp; P37</f>
        <v/>
      </c>
      <c r="R37" s="12" t="n"/>
      <c r="S37" s="12" t="inlineStr">
        <is>
          <t>スポンサーロゴ</t>
        </is>
      </c>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f>ROW()-1</f>
        <v/>
      </c>
      <c r="B38" s="9">
        <f>"P"&amp;TEXT(A38,"000")</f>
        <v/>
      </c>
      <c r="C38" s="9" t="n">
        <v>0</v>
      </c>
      <c r="D38" s="9" t="n">
        <v>3</v>
      </c>
      <c r="E38" s="9" t="n">
        <v>3</v>
      </c>
      <c r="F38" s="9">
        <f t="array" ref="F38">_xlfn.XLOOKUP(D38,phase!$A$2:$A$9,phase!$C$2:$C$9)</f>
        <v/>
      </c>
      <c r="G38" s="9">
        <f t="array" ref="G38">IF(F38="N",_xlfn.XLOOKUP(E38,phase!$A$2:$A$9,phase!$C$2:$C$9),F38)</f>
        <v/>
      </c>
      <c r="H38" s="9" t="n">
        <v>7</v>
      </c>
      <c r="I38" s="9" t="n">
        <v>3</v>
      </c>
      <c r="J38" s="9" t="n">
        <v>3</v>
      </c>
      <c r="K38" s="9" t="n">
        <v>1</v>
      </c>
      <c r="L38" s="9" t="inlineStr">
        <is>
          <t>起動(転回)</t>
        </is>
      </c>
      <c r="M38" s="16" t="inlineStr">
        <is>
          <t>転回したとき、プロジェクトカードを1枚引く</t>
        </is>
      </c>
      <c r="N38" s="9" t="inlineStr">
        <is>
          <t>姿勢制御装置</t>
        </is>
      </c>
      <c r="O38" s="9" t="n">
        <v>39</v>
      </c>
      <c r="P38" s="9">
        <f>"P"&amp;TEXT(O38,"000")&amp;".png"</f>
        <v/>
      </c>
      <c r="Q38" s="9">
        <f>fix!$B$2 &amp; "/" &amp; P38</f>
        <v/>
      </c>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f>ROW()-1</f>
        <v/>
      </c>
      <c r="B39" s="12">
        <f>"P"&amp;TEXT(A39,"000")</f>
        <v/>
      </c>
      <c r="C39" s="12" t="n">
        <v>0</v>
      </c>
      <c r="D39" s="12" t="n">
        <v>3</v>
      </c>
      <c r="E39" s="12" t="n">
        <v>3</v>
      </c>
      <c r="F39" s="12">
        <f t="array" ref="F39">_xlfn.XLOOKUP(D39,phase!$A$2:$A$9,phase!$C$2:$C$9)</f>
        <v/>
      </c>
      <c r="G39" s="12">
        <f t="array" ref="G39">IF(F39="N",_xlfn.XLOOKUP(E39,phase!$A$2:$A$9,phase!$C$2:$C$9),F39)</f>
        <v/>
      </c>
      <c r="H39" s="12" t="n">
        <v>7</v>
      </c>
      <c r="I39" s="12" t="n">
        <v>3</v>
      </c>
      <c r="J39" s="12" t="n">
        <v>3</v>
      </c>
      <c r="K39" s="12" t="n"/>
      <c r="L39" s="12" t="inlineStr">
        <is>
          <t>起動(打上)</t>
        </is>
      </c>
      <c r="M39" s="15" t="inlineStr">
        <is>
          <t>自分の衛星を打ち上げたとき、その衛星の搭載燃料以内で燃料を好きなだけ消費してもよい。そうした場合、自分の他の稼働中の衛星を1機選び、燃料を消費した分だけその衛星の燃料を回復する。ただし、搭載燃料を超えて回復することはできない</t>
        </is>
      </c>
      <c r="N39" s="12" t="inlineStr">
        <is>
          <t>燃料交換管</t>
        </is>
      </c>
      <c r="O39" s="12" t="n">
        <v>40</v>
      </c>
      <c r="P39" s="12">
        <f>"P"&amp;TEXT(O39,"000")&amp;".png"</f>
        <v/>
      </c>
      <c r="Q39" s="12">
        <f>fix!$B$2 &amp; "/" &amp; P39</f>
        <v/>
      </c>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f>ROW()-1</f>
        <v/>
      </c>
      <c r="B40" s="9">
        <f>"P"&amp;TEXT(A40,"000")</f>
        <v/>
      </c>
      <c r="C40" s="9" t="n">
        <v>0</v>
      </c>
      <c r="D40" s="9" t="n">
        <v>3</v>
      </c>
      <c r="E40" s="9" t="n">
        <v>3</v>
      </c>
      <c r="F40" s="9">
        <f t="array" ref="F40">_xlfn.XLOOKUP(D40,phase!$A$2:$A$9,phase!$C$2:$C$9)</f>
        <v/>
      </c>
      <c r="G40" s="9">
        <f t="array" ref="G40">IF(F40="N",_xlfn.XLOOKUP(E40,phase!$A$2:$A$9,phase!$C$2:$C$9),F40)</f>
        <v/>
      </c>
      <c r="H40" s="9" t="n">
        <v>9</v>
      </c>
      <c r="I40" s="9" t="n">
        <v>3</v>
      </c>
      <c r="J40" s="9" t="n">
        <v>2</v>
      </c>
      <c r="K40" s="9" t="n"/>
      <c r="L40" s="9" t="inlineStr">
        <is>
          <t>打ち上げ時</t>
        </is>
      </c>
      <c r="M40" s="16" t="inlineStr">
        <is>
          <t>この衛星を打ち上げたとき、この衛星に配備されている[Device]のカードの枚数だけプロジェクトカードを引く</t>
        </is>
      </c>
      <c r="N40" s="9" t="inlineStr">
        <is>
          <t>センサーアレイ</t>
        </is>
      </c>
      <c r="O40" s="9" t="n">
        <v>38</v>
      </c>
      <c r="P40" s="9">
        <f>"P"&amp;TEXT(O40,"000")&amp;".png"</f>
        <v/>
      </c>
      <c r="Q40" s="9">
        <f>fix!$B$2 &amp; "/" &amp; P40</f>
        <v/>
      </c>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f>ROW()-1</f>
        <v/>
      </c>
      <c r="B41" s="12">
        <f>"P"&amp;TEXT(A41,"000")</f>
        <v/>
      </c>
      <c r="C41" s="12" t="n">
        <v>0</v>
      </c>
      <c r="D41" s="12" t="n">
        <v>3</v>
      </c>
      <c r="E41" s="12" t="n">
        <v>3</v>
      </c>
      <c r="F41" s="12">
        <f t="array" ref="F41">_xlfn.XLOOKUP(D41,phase!$A$2:$A$9,phase!$C$2:$C$9)</f>
        <v/>
      </c>
      <c r="G41" s="12">
        <f t="array" ref="G41">IF(F41="N",_xlfn.XLOOKUP(E41,phase!$A$2:$A$9,phase!$C$2:$C$9),F41)</f>
        <v/>
      </c>
      <c r="H41" s="12" t="n">
        <v>9</v>
      </c>
      <c r="I41" s="12" t="n">
        <v>3</v>
      </c>
      <c r="J41" s="12" t="n">
        <v>2</v>
      </c>
      <c r="K41" s="12" t="n"/>
      <c r="L41" s="12" t="inlineStr">
        <is>
          <t>常時</t>
        </is>
      </c>
      <c r="M41" s="15" t="inlineStr">
        <is>
          <t>自分の衛星の打ち上げコスト-3</t>
        </is>
      </c>
      <c r="N41" s="12" t="inlineStr">
        <is>
          <t>射出補助装置</t>
        </is>
      </c>
      <c r="O41" s="12" t="n">
        <v>41</v>
      </c>
      <c r="P41" s="12">
        <f>"P"&amp;TEXT(O41,"000")&amp;".png"</f>
        <v/>
      </c>
      <c r="Q41" s="12">
        <f>fix!$B$2 &amp; "/" &amp; P41</f>
        <v/>
      </c>
      <c r="R41" s="12" t="n"/>
      <c r="S41" s="12" t="inlineStr">
        <is>
          <t>ジオメトリックセンサ</t>
        </is>
      </c>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f>ROW()-1</f>
        <v/>
      </c>
      <c r="B42" s="9">
        <f>"P"&amp;TEXT(A42,"000")</f>
        <v/>
      </c>
      <c r="C42" s="9" t="n">
        <v>0</v>
      </c>
      <c r="D42" s="9" t="n">
        <v>3</v>
      </c>
      <c r="E42" s="9" t="n">
        <v>3</v>
      </c>
      <c r="F42" s="9">
        <f t="array" ref="F42">_xlfn.XLOOKUP(D42,phase!$A$2:$A$9,phase!$C$2:$C$9)</f>
        <v/>
      </c>
      <c r="G42" s="9">
        <f t="array" ref="G42">IF(F42="N",_xlfn.XLOOKUP(E42,phase!$A$2:$A$9,phase!$C$2:$C$9),F42)</f>
        <v/>
      </c>
      <c r="H42" s="9" t="n">
        <v>13</v>
      </c>
      <c r="I42" s="9" t="n">
        <v>2</v>
      </c>
      <c r="J42" s="9" t="n">
        <v>0</v>
      </c>
      <c r="K42" s="9" t="n"/>
      <c r="L42" s="9" t="inlineStr">
        <is>
          <t>起動(打上)</t>
        </is>
      </c>
      <c r="M42" s="16" t="inlineStr">
        <is>
          <t>自分の衛星を打ち上げたとき、+1[予算]</t>
        </is>
      </c>
      <c r="N42" s="9" t="inlineStr">
        <is>
          <t>打ち上げ契約装置</t>
        </is>
      </c>
      <c r="O42" s="9" t="n">
        <v>37</v>
      </c>
      <c r="P42" s="9">
        <f>"P"&amp;TEXT(O42,"000")&amp;".png"</f>
        <v/>
      </c>
      <c r="Q42" s="9">
        <f>fix!$B$2 &amp; "/" &amp; P42</f>
        <v/>
      </c>
      <c r="R42" s="9" t="n"/>
      <c r="S42" s="9" t="inlineStr">
        <is>
          <t>投資家</t>
        </is>
      </c>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f>ROW()-1</f>
        <v/>
      </c>
      <c r="B43" s="12">
        <f>"P"&amp;TEXT(A43,"000")</f>
        <v/>
      </c>
      <c r="C43" s="12" t="n">
        <v>0</v>
      </c>
      <c r="D43" s="12" t="n">
        <v>3</v>
      </c>
      <c r="E43" s="12" t="n">
        <v>3</v>
      </c>
      <c r="F43" s="12">
        <f t="array" ref="F43">_xlfn.XLOOKUP(D43,phase!$A$2:$A$9,phase!$C$2:$C$9)</f>
        <v/>
      </c>
      <c r="G43" s="12">
        <f t="array" ref="G43">IF(F43="N",_xlfn.XLOOKUP(E43,phase!$A$2:$A$9,phase!$C$2:$C$9),F43)</f>
        <v/>
      </c>
      <c r="H43" s="12" t="n">
        <v>15</v>
      </c>
      <c r="I43" s="12" t="n">
        <v>3</v>
      </c>
      <c r="J43" s="12" t="n">
        <v>2</v>
      </c>
      <c r="K43" s="12" t="n"/>
      <c r="L43" s="12" t="inlineStr">
        <is>
          <t>打ち上げ時</t>
        </is>
      </c>
      <c r="M43" s="15" t="inlineStr">
        <is>
          <t>この衛星を打ち上げたとき、この衛星に配備されている[Device]のカードの枚数だけ[予算]上昇</t>
        </is>
      </c>
      <c r="N43" s="12" t="inlineStr">
        <is>
          <t>ダンスドッグロボット</t>
        </is>
      </c>
      <c r="O43" s="12" t="n">
        <v>42</v>
      </c>
      <c r="P43" s="12">
        <f>"P"&amp;TEXT(O43,"000")&amp;".png"</f>
        <v/>
      </c>
      <c r="Q43" s="12">
        <f>fix!$B$2 &amp; "/" &amp; P43</f>
        <v/>
      </c>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f>ROW()-1</f>
        <v/>
      </c>
      <c r="B44" s="9">
        <f>"P"&amp;TEXT(A44,"000")</f>
        <v/>
      </c>
      <c r="C44" s="9" t="n">
        <v>0</v>
      </c>
      <c r="D44" s="9" t="n">
        <v>7</v>
      </c>
      <c r="E44" s="9" t="n">
        <v>3</v>
      </c>
      <c r="F44" s="9">
        <f t="array" ref="F44">_xlfn.XLOOKUP(D44,phase!$A$2:$A$9,phase!$C$2:$C$9)</f>
        <v/>
      </c>
      <c r="G44" s="9">
        <f t="array" ref="G44">IF(F44="N",_xlfn.XLOOKUP(E44,phase!$A$2:$A$9,phase!$C$2:$C$9),F44)</f>
        <v/>
      </c>
      <c r="H44" s="9" t="n">
        <v>4</v>
      </c>
      <c r="I44" s="9" t="n">
        <v>3</v>
      </c>
      <c r="J44" s="9" t="n">
        <v>2</v>
      </c>
      <c r="K44" s="9" t="n">
        <v>1</v>
      </c>
      <c r="L44" s="9" t="inlineStr">
        <is>
          <t>起動(転回)</t>
        </is>
      </c>
      <c r="M44" s="16" t="inlineStr">
        <is>
          <t>この衛星が転回したとき、燃料を1回復する</t>
        </is>
      </c>
      <c r="N44" s="9" t="inlineStr">
        <is>
          <t>回生推進機</t>
        </is>
      </c>
      <c r="O44" s="9" t="n">
        <v>43</v>
      </c>
      <c r="P44" s="9">
        <f>"P"&amp;TEXT(O44,"000")&amp;".png"</f>
        <v/>
      </c>
      <c r="Q44" s="9">
        <f>fix!$B$2 &amp; "/" &amp; P44</f>
        <v/>
      </c>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f>ROW()-1</f>
        <v/>
      </c>
      <c r="B45" s="12">
        <f>"P"&amp;TEXT(A45,"000")</f>
        <v/>
      </c>
      <c r="C45" s="12" t="n">
        <v>0</v>
      </c>
      <c r="D45" s="12" t="n">
        <v>7</v>
      </c>
      <c r="E45" s="12" t="n">
        <v>3</v>
      </c>
      <c r="F45" s="12">
        <f t="array" ref="F45">_xlfn.XLOOKUP(D45,phase!$A$2:$A$9,phase!$C$2:$C$9)</f>
        <v/>
      </c>
      <c r="G45" s="12">
        <f t="array" ref="G45">IF(F45="N",_xlfn.XLOOKUP(E45,phase!$A$2:$A$9,phase!$C$2:$C$9),F45)</f>
        <v/>
      </c>
      <c r="H45" s="12" t="n">
        <v>6</v>
      </c>
      <c r="I45" s="12" t="n">
        <v>3</v>
      </c>
      <c r="J45" s="12" t="n">
        <v>3</v>
      </c>
      <c r="K45" s="12" t="n">
        <v>1</v>
      </c>
      <c r="L45" s="12" t="inlineStr">
        <is>
          <t>起動(転回)</t>
        </is>
      </c>
      <c r="M45" s="15" t="inlineStr">
        <is>
          <t>自分の他の衛星が転回したとき、この衛星は転回してもよい</t>
        </is>
      </c>
      <c r="N45" s="12" t="inlineStr">
        <is>
          <t>編隊同期装置</t>
        </is>
      </c>
      <c r="O45" s="12" t="n">
        <v>44</v>
      </c>
      <c r="P45" s="12">
        <f>"P"&amp;TEXT(O45,"000")&amp;".png"</f>
        <v/>
      </c>
      <c r="Q45" s="12">
        <f>fix!$B$2 &amp; "/" &amp; P45</f>
        <v/>
      </c>
      <c r="R45" s="12" t="n"/>
      <c r="S45" s="12" t="inlineStr">
        <is>
          <t>双子ジェット</t>
        </is>
      </c>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f>ROW()-1</f>
        <v/>
      </c>
      <c r="B46" s="9">
        <f>"P"&amp;TEXT(A46,"000")</f>
        <v/>
      </c>
      <c r="C46" s="9" t="n">
        <v>0</v>
      </c>
      <c r="D46" s="9" t="n">
        <v>7</v>
      </c>
      <c r="E46" s="9" t="n">
        <v>3</v>
      </c>
      <c r="F46" s="9">
        <f t="array" ref="F46">_xlfn.XLOOKUP(D46,phase!$A$2:$A$9,phase!$C$2:$C$9)</f>
        <v/>
      </c>
      <c r="G46" s="9">
        <f t="array" ref="G46">IF(F46="N",_xlfn.XLOOKUP(E46,phase!$A$2:$A$9,phase!$C$2:$C$9),F46)</f>
        <v/>
      </c>
      <c r="H46" s="9" t="n">
        <v>7</v>
      </c>
      <c r="I46" s="9" t="n">
        <v>3</v>
      </c>
      <c r="J46" s="9" t="n">
        <v>2</v>
      </c>
      <c r="K46" s="9" t="n">
        <v>1</v>
      </c>
      <c r="L46" s="9" t="inlineStr">
        <is>
          <t>起動(転回)</t>
        </is>
      </c>
      <c r="M46" s="16" t="inlineStr">
        <is>
          <t>この衛星が転回したとき、配備コストを支払ってプロジェクトカードを1枚この衛星に配備してもよい</t>
        </is>
      </c>
      <c r="N46" s="9" t="inlineStr">
        <is>
          <t>軌道整備ドッグ</t>
        </is>
      </c>
      <c r="O46" s="9" t="n">
        <v>48</v>
      </c>
      <c r="P46" s="9">
        <f>"P"&amp;TEXT(O46,"000")&amp;".png"</f>
        <v/>
      </c>
      <c r="Q46" s="9">
        <f>fix!$B$2 &amp; "/" &amp; P46</f>
        <v/>
      </c>
      <c r="R46" s="9" t="n"/>
      <c r="S46" s="9" t="inlineStr">
        <is>
          <t>ジャイロユニット</t>
        </is>
      </c>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f>ROW()-1</f>
        <v/>
      </c>
      <c r="B47" s="12">
        <f>"P"&amp;TEXT(A47,"000")</f>
        <v/>
      </c>
      <c r="C47" s="12" t="n">
        <v>0</v>
      </c>
      <c r="D47" s="12" t="n">
        <v>7</v>
      </c>
      <c r="E47" s="12" t="n">
        <v>3</v>
      </c>
      <c r="F47" s="12">
        <f t="array" ref="F47">_xlfn.XLOOKUP(D47,phase!$A$2:$A$9,phase!$C$2:$C$9)</f>
        <v/>
      </c>
      <c r="G47" s="12">
        <f t="array" ref="G47">IF(F47="N",_xlfn.XLOOKUP(E47,phase!$A$2:$A$9,phase!$C$2:$C$9),F47)</f>
        <v/>
      </c>
      <c r="H47" s="12" t="n">
        <v>7</v>
      </c>
      <c r="I47" s="12" t="n">
        <v>4</v>
      </c>
      <c r="J47" s="12" t="n">
        <v>5</v>
      </c>
      <c r="K47" s="12" t="n">
        <v>1</v>
      </c>
      <c r="L47" s="12" t="inlineStr">
        <is>
          <t>常時</t>
        </is>
      </c>
      <c r="M47" s="15" t="inlineStr">
        <is>
          <t>この衛星は転回できない</t>
        </is>
      </c>
      <c r="N47" s="12" t="inlineStr">
        <is>
          <t>固定軌道装置</t>
        </is>
      </c>
      <c r="O47" s="12" t="n">
        <v>45</v>
      </c>
      <c r="P47" s="12">
        <f>"P"&amp;TEXT(O47,"000")&amp;".png"</f>
        <v/>
      </c>
      <c r="Q47" s="12">
        <f>fix!$B$2 &amp; "/" &amp; P47</f>
        <v/>
      </c>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f>ROW()-1</f>
        <v/>
      </c>
      <c r="B48" s="9">
        <f>"P"&amp;TEXT(A48,"000")</f>
        <v/>
      </c>
      <c r="C48" s="9" t="n">
        <v>0</v>
      </c>
      <c r="D48" s="9" t="n">
        <v>7</v>
      </c>
      <c r="E48" s="9" t="n">
        <v>3</v>
      </c>
      <c r="F48" s="9">
        <f t="array" ref="F48">_xlfn.XLOOKUP(D48,phase!$A$2:$A$9,phase!$C$2:$C$9)</f>
        <v/>
      </c>
      <c r="G48" s="9">
        <f t="array" ref="G48">IF(F48="N",_xlfn.XLOOKUP(E48,phase!$A$2:$A$9,phase!$C$2:$C$9),F48)</f>
        <v/>
      </c>
      <c r="H48" s="9" t="n">
        <v>9</v>
      </c>
      <c r="I48" s="9" t="n">
        <v>3</v>
      </c>
      <c r="J48" s="9" t="n">
        <v>2</v>
      </c>
      <c r="K48" s="9" t="n">
        <v>1</v>
      </c>
      <c r="L48" s="9" t="inlineStr">
        <is>
          <t>起動(転回)</t>
        </is>
      </c>
      <c r="M48" s="16" t="inlineStr">
        <is>
          <t>この衛星が転回したとき、特殊通信確立コストを支払って通信確立してもよい</t>
        </is>
      </c>
      <c r="N48" s="9" t="inlineStr">
        <is>
          <t>トルネードビット</t>
        </is>
      </c>
      <c r="O48" s="9" t="n">
        <v>49</v>
      </c>
      <c r="P48" s="9">
        <f>"P"&amp;TEXT(O48,"000")&amp;".png"</f>
        <v/>
      </c>
      <c r="Q48" s="9">
        <f>fix!$B$2 &amp; "/" &amp; P48</f>
        <v/>
      </c>
      <c r="R48" s="9" t="n"/>
      <c r="S48" s="9" t="inlineStr">
        <is>
          <t>トルネードビット</t>
        </is>
      </c>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f>ROW()-1</f>
        <v/>
      </c>
      <c r="B49" s="12">
        <f>"P"&amp;TEXT(A49,"000")</f>
        <v/>
      </c>
      <c r="C49" s="12" t="n">
        <v>0</v>
      </c>
      <c r="D49" s="12" t="n">
        <v>4</v>
      </c>
      <c r="E49" s="12" t="n">
        <v>4</v>
      </c>
      <c r="F49" s="12">
        <f t="array" ref="F49">_xlfn.XLOOKUP(D49,phase!$A$2:$A$9,phase!$C$2:$C$9)</f>
        <v/>
      </c>
      <c r="G49" s="12">
        <f t="array" ref="G49">IF(F49="N",_xlfn.XLOOKUP(E49,phase!$A$2:$A$9,phase!$C$2:$C$9),F49)</f>
        <v/>
      </c>
      <c r="H49" s="12" t="n">
        <v>4</v>
      </c>
      <c r="I49" s="12" t="n">
        <v>2</v>
      </c>
      <c r="J49" s="12" t="n">
        <v>2</v>
      </c>
      <c r="K49" s="12" t="n">
        <v>1</v>
      </c>
      <c r="L49" s="12" t="inlineStr">
        <is>
          <t>常時</t>
        </is>
      </c>
      <c r="M49" s="15" t="inlineStr">
        <is>
          <t>この衛星が通信確立するたび、燃料を1回復する</t>
        </is>
      </c>
      <c r="N49" s="12" t="inlineStr">
        <is>
          <t>太陽電池パネル</t>
        </is>
      </c>
      <c r="O49" s="12" t="n">
        <v>51</v>
      </c>
      <c r="P49" s="12">
        <f>"P"&amp;TEXT(O49,"000")&amp;".png"</f>
        <v/>
      </c>
      <c r="Q49" s="12">
        <f>fix!$B$2 &amp; "/" &amp; P49</f>
        <v/>
      </c>
      <c r="R49" s="12" t="n"/>
      <c r="S49" s="12" t="inlineStr">
        <is>
          <t>中継カメラＣ</t>
        </is>
      </c>
      <c r="T49" s="12" t="inlineStr">
        <is>
          <t>やる気のエンジン</t>
        </is>
      </c>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f>ROW()-1</f>
        <v/>
      </c>
      <c r="B50" s="9">
        <f>"P"&amp;TEXT(A50,"000")</f>
        <v/>
      </c>
      <c r="C50" s="9" t="n">
        <v>0</v>
      </c>
      <c r="D50" s="9" t="n">
        <v>4</v>
      </c>
      <c r="E50" s="9" t="n">
        <v>4</v>
      </c>
      <c r="F50" s="9">
        <f t="array" ref="F50">_xlfn.XLOOKUP(D50,phase!$A$2:$A$9,phase!$C$2:$C$9)</f>
        <v/>
      </c>
      <c r="G50" s="9">
        <f t="array" ref="G50">IF(F50="N",_xlfn.XLOOKUP(E50,phase!$A$2:$A$9,phase!$C$2:$C$9),F50)</f>
        <v/>
      </c>
      <c r="H50" s="9" t="n">
        <v>5</v>
      </c>
      <c r="I50" s="9" t="n">
        <v>3</v>
      </c>
      <c r="J50" s="9" t="n">
        <v>2</v>
      </c>
      <c r="K50" s="9" t="n">
        <v>1</v>
      </c>
      <c r="L50" s="9" t="inlineStr">
        <is>
          <t>起動(通信確立)</t>
        </is>
      </c>
      <c r="M50" s="16" t="inlineStr">
        <is>
          <t>この衛星が通信確立したとき、転回してもよい</t>
        </is>
      </c>
      <c r="N50" s="9" t="inlineStr">
        <is>
          <t>可変軌道装置</t>
        </is>
      </c>
      <c r="O50" s="9" t="n">
        <v>50</v>
      </c>
      <c r="P50" s="9">
        <f>"P"&amp;TEXT(O50,"000")&amp;".png"</f>
        <v/>
      </c>
      <c r="Q50" s="9">
        <f>fix!$B$2 &amp; "/" &amp; P50</f>
        <v/>
      </c>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f>ROW()-1</f>
        <v/>
      </c>
      <c r="B51" s="12">
        <f>"P"&amp;TEXT(A51,"000")</f>
        <v/>
      </c>
      <c r="C51" s="12" t="n">
        <v>0</v>
      </c>
      <c r="D51" s="12" t="n">
        <v>4</v>
      </c>
      <c r="E51" s="12" t="n">
        <v>4</v>
      </c>
      <c r="F51" s="12">
        <f t="array" ref="F51">_xlfn.XLOOKUP(D51,phase!$A$2:$A$9,phase!$C$2:$C$9)</f>
        <v/>
      </c>
      <c r="G51" s="12">
        <f t="array" ref="G51">IF(F51="N",_xlfn.XLOOKUP(E51,phase!$A$2:$A$9,phase!$C$2:$C$9),F51)</f>
        <v/>
      </c>
      <c r="H51" s="12" t="n">
        <v>6</v>
      </c>
      <c r="I51" s="12" t="n">
        <v>3</v>
      </c>
      <c r="J51" s="12" t="n">
        <v>1</v>
      </c>
      <c r="K51" s="12" t="n">
        <v>1</v>
      </c>
      <c r="L51" s="12" t="inlineStr">
        <is>
          <t>起動(通信確立)</t>
        </is>
      </c>
      <c r="M51" s="15" t="inlineStr">
        <is>
          <t>この衛星が地域A,C,E上空にいるときに通信確立したとき、追加で特殊通信確立コストを支払ってもよい。そうした場合、自分の地域A,C,E内にいる他の衛星を1機選び通信確立する</t>
        </is>
      </c>
      <c r="N51" s="12" t="inlineStr">
        <is>
          <t>欧阿中継ネットワーク</t>
        </is>
      </c>
      <c r="O51" s="12" t="n">
        <v>52</v>
      </c>
      <c r="P51" s="12">
        <f>"P"&amp;TEXT(O51,"000")&amp;".png"</f>
        <v/>
      </c>
      <c r="Q51" s="12">
        <f>fix!$B$2 &amp; "/" &amp; P51</f>
        <v/>
      </c>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f>ROW()-1</f>
        <v/>
      </c>
      <c r="B52" s="9">
        <f>"P"&amp;TEXT(A52,"000")</f>
        <v/>
      </c>
      <c r="C52" s="9" t="n">
        <v>0</v>
      </c>
      <c r="D52" s="9" t="n">
        <v>4</v>
      </c>
      <c r="E52" s="9" t="n">
        <v>4</v>
      </c>
      <c r="F52" s="9">
        <f t="array" ref="F52">_xlfn.XLOOKUP(D52,phase!$A$2:$A$9,phase!$C$2:$C$9)</f>
        <v/>
      </c>
      <c r="G52" s="9">
        <f t="array" ref="G52">IF(F52="N",_xlfn.XLOOKUP(E52,phase!$A$2:$A$9,phase!$C$2:$C$9),F52)</f>
        <v/>
      </c>
      <c r="H52" s="9" t="n">
        <v>6</v>
      </c>
      <c r="I52" s="9" t="n">
        <v>3</v>
      </c>
      <c r="J52" s="9" t="n">
        <v>1</v>
      </c>
      <c r="K52" s="9" t="n">
        <v>1</v>
      </c>
      <c r="L52" s="9" t="inlineStr">
        <is>
          <t>起動(通信確立)</t>
        </is>
      </c>
      <c r="M52" s="16" t="inlineStr">
        <is>
          <t>この衛星が地域B,D,F上空にいるときに通信確立したとき、追加で特殊通信確立コストを支払ってもよい。そうした場合、自分の地域B,D,F内にいる他の衛星を1機選び通信確立する</t>
        </is>
      </c>
      <c r="N52" s="9" t="inlineStr">
        <is>
          <t>米亜中継ネットワーク</t>
        </is>
      </c>
      <c r="O52" s="9" t="n">
        <v>53</v>
      </c>
      <c r="P52" s="9">
        <f>"P"&amp;TEXT(O52,"000")&amp;".png"</f>
        <v/>
      </c>
      <c r="Q52" s="9">
        <f>fix!$B$2 &amp; "/" &amp; P52</f>
        <v/>
      </c>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f>ROW()-1</f>
        <v/>
      </c>
      <c r="B53" s="12">
        <f>"P"&amp;TEXT(A53,"000")</f>
        <v/>
      </c>
      <c r="C53" s="12" t="n">
        <v>0</v>
      </c>
      <c r="D53" s="12" t="n">
        <v>4</v>
      </c>
      <c r="E53" s="12" t="n">
        <v>4</v>
      </c>
      <c r="F53" s="12">
        <f t="array" ref="F53">_xlfn.XLOOKUP(D53,phase!$A$2:$A$9,phase!$C$2:$C$9)</f>
        <v/>
      </c>
      <c r="G53" s="12">
        <f t="array" ref="G53">IF(F53="N",_xlfn.XLOOKUP(E53,phase!$A$2:$A$9,phase!$C$2:$C$9),F53)</f>
        <v/>
      </c>
      <c r="H53" s="12" t="n">
        <v>7</v>
      </c>
      <c r="I53" s="12" t="n">
        <v>2</v>
      </c>
      <c r="J53" s="12" t="n">
        <v>2</v>
      </c>
      <c r="K53" s="12" t="n">
        <v>1</v>
      </c>
      <c r="L53" s="12" t="inlineStr">
        <is>
          <t>常時</t>
        </is>
      </c>
      <c r="M53" s="15" t="inlineStr">
        <is>
          <t>この衛星は通信確立する際、隣接する陸区域も通信確立対象区域に加えられる</t>
        </is>
      </c>
      <c r="N53" s="12" t="inlineStr">
        <is>
          <t>大陸アンテナ</t>
        </is>
      </c>
      <c r="O53" s="12" t="n">
        <v>56</v>
      </c>
      <c r="P53" s="12">
        <f>"P"&amp;TEXT(O53,"000")&amp;".png"</f>
        <v/>
      </c>
      <c r="Q53" s="12">
        <f>fix!$B$2 &amp; "/" &amp; P53</f>
        <v/>
      </c>
      <c r="R53" s="12" t="n"/>
      <c r="S53" s="12" t="inlineStr">
        <is>
          <t>テレスコープ</t>
        </is>
      </c>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f>ROW()-1</f>
        <v/>
      </c>
      <c r="B54" s="9">
        <f>"P"&amp;TEXT(A54,"000")</f>
        <v/>
      </c>
      <c r="C54" s="9" t="n">
        <v>0</v>
      </c>
      <c r="D54" s="9" t="n">
        <v>4</v>
      </c>
      <c r="E54" s="9" t="n">
        <v>4</v>
      </c>
      <c r="F54" s="9">
        <f t="array" ref="F54">_xlfn.XLOOKUP(D54,phase!$A$2:$A$9,phase!$C$2:$C$9)</f>
        <v/>
      </c>
      <c r="G54" s="9">
        <f t="array" ref="G54">IF(F54="N",_xlfn.XLOOKUP(E54,phase!$A$2:$A$9,phase!$C$2:$C$9),F54)</f>
        <v/>
      </c>
      <c r="H54" s="9" t="n">
        <v>7</v>
      </c>
      <c r="I54" s="9" t="n">
        <v>2</v>
      </c>
      <c r="J54" s="9" t="n">
        <v>2</v>
      </c>
      <c r="K54" s="9" t="n">
        <v>1</v>
      </c>
      <c r="L54" s="9" t="inlineStr">
        <is>
          <t>常時</t>
        </is>
      </c>
      <c r="M54" s="16" t="inlineStr">
        <is>
          <t>この衛星は通信確立する際、進行方向に向かって右側の隣接する2区域も通信確立対象区域に加えられる</t>
        </is>
      </c>
      <c r="N54" s="9" t="inlineStr">
        <is>
          <t>面舵アンテナ</t>
        </is>
      </c>
      <c r="O54" s="9" t="n">
        <v>57</v>
      </c>
      <c r="P54" s="9">
        <f>"P"&amp;TEXT(O54,"000")&amp;".png"</f>
        <v/>
      </c>
      <c r="Q54" s="9">
        <f>fix!$B$2 &amp; "/" &amp; P54</f>
        <v/>
      </c>
      <c r="R54" s="9" t="n"/>
      <c r="S54" s="9" t="inlineStr">
        <is>
          <t>三時のアンテナ</t>
        </is>
      </c>
      <c r="T54" s="9" t="inlineStr">
        <is>
          <t>面舵アンテナ</t>
        </is>
      </c>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f>ROW()-1</f>
        <v/>
      </c>
      <c r="B55" s="12">
        <f>"P"&amp;TEXT(A55,"000")</f>
        <v/>
      </c>
      <c r="C55" s="12" t="n">
        <v>0</v>
      </c>
      <c r="D55" s="12" t="n">
        <v>4</v>
      </c>
      <c r="E55" s="12" t="n">
        <v>4</v>
      </c>
      <c r="F55" s="12">
        <f t="array" ref="F55">_xlfn.XLOOKUP(D55,phase!$A$2:$A$9,phase!$C$2:$C$9)</f>
        <v/>
      </c>
      <c r="G55" s="12">
        <f t="array" ref="G55">IF(F55="N",_xlfn.XLOOKUP(E55,phase!$A$2:$A$9,phase!$C$2:$C$9),F55)</f>
        <v/>
      </c>
      <c r="H55" s="12" t="n">
        <v>7</v>
      </c>
      <c r="I55" s="12" t="n">
        <v>2</v>
      </c>
      <c r="J55" s="12" t="n">
        <v>2</v>
      </c>
      <c r="K55" s="12" t="n">
        <v>1</v>
      </c>
      <c r="L55" s="12" t="inlineStr">
        <is>
          <t>常時</t>
        </is>
      </c>
      <c r="M55" s="15" t="inlineStr">
        <is>
          <t>この衛星は通信確立する際、進行方向に向かって左側の隣接する2区域も通信確立対象区域に加えられる</t>
        </is>
      </c>
      <c r="N55" s="12" t="inlineStr">
        <is>
          <t>取舵アンテナ</t>
        </is>
      </c>
      <c r="O55" s="12" t="n">
        <v>58</v>
      </c>
      <c r="P55" s="12">
        <f>"P"&amp;TEXT(O55,"000")&amp;".png"</f>
        <v/>
      </c>
      <c r="Q55" s="12">
        <f>fix!$B$2 &amp; "/" &amp; P55</f>
        <v/>
      </c>
      <c r="R55" s="12" t="n"/>
      <c r="S55" s="12" t="inlineStr">
        <is>
          <t>九時のアンテナ</t>
        </is>
      </c>
      <c r="T55" s="12" t="inlineStr">
        <is>
          <t>取舵アンテナ</t>
        </is>
      </c>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f>ROW()-1</f>
        <v/>
      </c>
      <c r="B56" s="9">
        <f>"P"&amp;TEXT(A56,"000")</f>
        <v/>
      </c>
      <c r="C56" s="9" t="n">
        <v>0</v>
      </c>
      <c r="D56" s="9" t="n">
        <v>4</v>
      </c>
      <c r="E56" s="9" t="n">
        <v>4</v>
      </c>
      <c r="F56" s="9">
        <f t="array" ref="F56">_xlfn.XLOOKUP(D56,phase!$A$2:$A$9,phase!$C$2:$C$9)</f>
        <v/>
      </c>
      <c r="G56" s="9">
        <f t="array" ref="G56">IF(F56="N",_xlfn.XLOOKUP(E56,phase!$A$2:$A$9,phase!$C$2:$C$9),F56)</f>
        <v/>
      </c>
      <c r="H56" s="9" t="n">
        <v>7</v>
      </c>
      <c r="I56" s="9" t="n">
        <v>3</v>
      </c>
      <c r="J56" s="9" t="n">
        <v>2</v>
      </c>
      <c r="K56" s="9" t="n"/>
      <c r="L56" s="9" t="inlineStr">
        <is>
          <t>常時</t>
        </is>
      </c>
      <c r="M56" s="16" t="inlineStr">
        <is>
          <t>この衛星が通信確立する際、他プレイヤーが通信確立済みの区域を通信確立する際、他プレイヤーに先駆者への通信確立コストを支払わない</t>
        </is>
      </c>
      <c r="N56" s="9" t="inlineStr">
        <is>
          <t>ステルス艦</t>
        </is>
      </c>
      <c r="O56" s="9" t="n">
        <v>61</v>
      </c>
      <c r="P56" s="9">
        <f>"P"&amp;TEXT(O56,"000")&amp;".png"</f>
        <v/>
      </c>
      <c r="Q56" s="9">
        <f>fix!$B$2 &amp; "/" &amp; P56</f>
        <v/>
      </c>
      <c r="R56" s="9" t="n"/>
      <c r="S56" s="9" t="inlineStr">
        <is>
          <t>ステルス</t>
        </is>
      </c>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f>ROW()-1</f>
        <v/>
      </c>
      <c r="B57" s="12">
        <f>"P"&amp;TEXT(A57,"000")</f>
        <v/>
      </c>
      <c r="C57" s="12" t="n">
        <v>0</v>
      </c>
      <c r="D57" s="12" t="n">
        <v>7</v>
      </c>
      <c r="E57" s="12" t="n">
        <v>4</v>
      </c>
      <c r="F57" s="12">
        <f t="array" ref="F57">_xlfn.XLOOKUP(D57,phase!$A$2:$A$9,phase!$C$2:$C$9)</f>
        <v/>
      </c>
      <c r="G57" s="12">
        <f t="array" ref="G57">IF(F57="N",_xlfn.XLOOKUP(E57,phase!$A$2:$A$9,phase!$C$2:$C$9),F57)</f>
        <v/>
      </c>
      <c r="H57" s="12" t="n">
        <v>8</v>
      </c>
      <c r="I57" s="12" t="n">
        <v>2</v>
      </c>
      <c r="J57" s="12" t="n">
        <v>2</v>
      </c>
      <c r="K57" s="12" t="n">
        <v>1</v>
      </c>
      <c r="L57" s="12" t="inlineStr">
        <is>
          <t>起動(通信確立)</t>
        </is>
      </c>
      <c r="M57" s="15" t="inlineStr">
        <is>
          <t>この衛星が通信確立したとき、追加で特殊通信確立コストを支払ってもよい。そうした場合、この衛星の進行方向後方の隣接する区域を追加で通信確立する</t>
        </is>
      </c>
      <c r="N57" s="12" t="inlineStr">
        <is>
          <t>後方広域送信機</t>
        </is>
      </c>
      <c r="O57" s="12" t="n">
        <v>47</v>
      </c>
      <c r="P57" s="12">
        <f>"P"&amp;TEXT(O57,"000")&amp;".png"</f>
        <v/>
      </c>
      <c r="Q57" s="12">
        <f>fix!$B$2 &amp; "/" &amp; P57</f>
        <v/>
      </c>
      <c r="R57" s="12" t="n"/>
      <c r="S57" s="12" t="inlineStr">
        <is>
          <t>追加ユニット(後)</t>
        </is>
      </c>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f>ROW()-1</f>
        <v/>
      </c>
      <c r="B58" s="9">
        <f>"P"&amp;TEXT(A58,"000")</f>
        <v/>
      </c>
      <c r="C58" s="9" t="n">
        <v>0</v>
      </c>
      <c r="D58" s="9" t="n">
        <v>7</v>
      </c>
      <c r="E58" s="9" t="n">
        <v>4</v>
      </c>
      <c r="F58" s="9">
        <f t="array" ref="F58">_xlfn.XLOOKUP(D58,phase!$A$2:$A$9,phase!$C$2:$C$9)</f>
        <v/>
      </c>
      <c r="G58" s="9">
        <f t="array" ref="G58">IF(F58="N",_xlfn.XLOOKUP(E58,phase!$A$2:$A$9,phase!$C$2:$C$9),F58)</f>
        <v/>
      </c>
      <c r="H58" s="9" t="n">
        <v>8</v>
      </c>
      <c r="I58" s="9" t="n">
        <v>2</v>
      </c>
      <c r="J58" s="9" t="n">
        <v>3</v>
      </c>
      <c r="K58" s="9" t="n">
        <v>1</v>
      </c>
      <c r="L58" s="9" t="inlineStr">
        <is>
          <t>起動(通信確立)</t>
        </is>
      </c>
      <c r="M58" s="16" t="inlineStr">
        <is>
          <t>この衛星が通信確立したとき、追加で特殊通信確立コストを支払ってもよい。そうした場合、この衛星の進行方向前方の隣接する区域を追加で通信確立する</t>
        </is>
      </c>
      <c r="N58" s="9" t="inlineStr">
        <is>
          <t>前方広域送信機</t>
        </is>
      </c>
      <c r="O58" s="9" t="n">
        <v>46</v>
      </c>
      <c r="P58" s="9">
        <f>"P"&amp;TEXT(O58,"000")&amp;".png"</f>
        <v/>
      </c>
      <c r="Q58" s="9">
        <f>fix!$B$2 &amp; "/" &amp; P58</f>
        <v/>
      </c>
      <c r="R58" s="9" t="n"/>
      <c r="S58" s="9" t="inlineStr">
        <is>
          <t>追加ユニット(前)</t>
        </is>
      </c>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f>ROW()-1</f>
        <v/>
      </c>
      <c r="B59" s="12">
        <f>"P"&amp;TEXT(A59,"000")</f>
        <v/>
      </c>
      <c r="C59" s="12" t="n">
        <v>0</v>
      </c>
      <c r="D59" s="12" t="n">
        <v>4</v>
      </c>
      <c r="E59" s="12" t="n">
        <v>4</v>
      </c>
      <c r="F59" s="12">
        <f t="array" ref="F59">_xlfn.XLOOKUP(D59,phase!$A$2:$A$9,phase!$C$2:$C$9)</f>
        <v/>
      </c>
      <c r="G59" s="12">
        <f t="array" ref="G59">IF(F59="N",_xlfn.XLOOKUP(E59,phase!$A$2:$A$9,phase!$C$2:$C$9),F59)</f>
        <v/>
      </c>
      <c r="H59" s="12" t="n">
        <v>8</v>
      </c>
      <c r="I59" s="12" t="n">
        <v>3</v>
      </c>
      <c r="J59" s="12" t="n">
        <v>1</v>
      </c>
      <c r="K59" s="12" t="n">
        <v>1</v>
      </c>
      <c r="L59" s="12" t="inlineStr">
        <is>
          <t>起動(通信確立)</t>
        </is>
      </c>
      <c r="M59" s="15" t="inlineStr">
        <is>
          <t>自分の他の衛星が地域C,E上空にいるときに通信確立したとき、特殊通信確立コストを支払ってこの衛星も通信確立してもよい</t>
        </is>
      </c>
      <c r="N59" s="12" t="inlineStr">
        <is>
          <t>真紅遠隔通信装置</t>
        </is>
      </c>
      <c r="O59" s="12" t="n">
        <v>59</v>
      </c>
      <c r="P59" s="12">
        <f>"P"&amp;TEXT(O59,"000")&amp;".png"</f>
        <v/>
      </c>
      <c r="Q59" s="12">
        <f>fix!$B$2 &amp; "/" &amp; P59</f>
        <v/>
      </c>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f>ROW()-1</f>
        <v/>
      </c>
      <c r="B60" s="9">
        <f>"P"&amp;TEXT(A60,"000")</f>
        <v/>
      </c>
      <c r="C60" s="9" t="n">
        <v>0</v>
      </c>
      <c r="D60" s="9" t="n">
        <v>4</v>
      </c>
      <c r="E60" s="9" t="n">
        <v>4</v>
      </c>
      <c r="F60" s="9">
        <f t="array" ref="F60">_xlfn.XLOOKUP(D60,phase!$A$2:$A$9,phase!$C$2:$C$9)</f>
        <v/>
      </c>
      <c r="G60" s="9">
        <f t="array" ref="G60">IF(F60="N",_xlfn.XLOOKUP(E60,phase!$A$2:$A$9,phase!$C$2:$C$9),F60)</f>
        <v/>
      </c>
      <c r="H60" s="9" t="n">
        <v>8</v>
      </c>
      <c r="I60" s="9" t="n">
        <v>3</v>
      </c>
      <c r="J60" s="9" t="n">
        <v>1</v>
      </c>
      <c r="K60" s="9" t="n">
        <v>1</v>
      </c>
      <c r="L60" s="9" t="inlineStr">
        <is>
          <t>起動(通信確立)</t>
        </is>
      </c>
      <c r="M60" s="16" t="inlineStr">
        <is>
          <t>自分の他の衛星が地域D,F上空にいるときに通信確立したとき、特殊通信確立コストを支払ってこの衛星も通信確立してもよい</t>
        </is>
      </c>
      <c r="N60" s="9" t="inlineStr">
        <is>
          <t>瑠璃遠隔通信装置</t>
        </is>
      </c>
      <c r="O60" s="9" t="n">
        <v>60</v>
      </c>
      <c r="P60" s="9">
        <f>"P"&amp;TEXT(O60,"000")&amp;".png"</f>
        <v/>
      </c>
      <c r="Q60" s="9">
        <f>fix!$B$2 &amp; "/" &amp; P60</f>
        <v/>
      </c>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f>ROW()-1</f>
        <v/>
      </c>
      <c r="B61" s="12">
        <f>"P"&amp;TEXT(A61,"000")</f>
        <v/>
      </c>
      <c r="C61" s="12" t="n">
        <v>0</v>
      </c>
      <c r="D61" s="12" t="n">
        <v>4</v>
      </c>
      <c r="E61" s="12" t="n">
        <v>4</v>
      </c>
      <c r="F61" s="12">
        <f t="array" ref="F61">_xlfn.XLOOKUP(D61,phase!$A$2:$A$9,phase!$C$2:$C$9)</f>
        <v/>
      </c>
      <c r="G61" s="12">
        <f t="array" ref="G61">IF(F61="N",_xlfn.XLOOKUP(E61,phase!$A$2:$A$9,phase!$C$2:$C$9),F61)</f>
        <v/>
      </c>
      <c r="H61" s="12" t="n">
        <v>8</v>
      </c>
      <c r="I61" s="12" t="n">
        <v>3</v>
      </c>
      <c r="J61" s="12" t="n">
        <v>2</v>
      </c>
      <c r="K61" s="12" t="n">
        <v>1</v>
      </c>
      <c r="L61" s="12" t="inlineStr">
        <is>
          <t>起動(通信確立)</t>
        </is>
      </c>
      <c r="M61" s="15" t="inlineStr">
        <is>
          <t>この衛星が地域A,Gで通信確立したとき、特殊通信確立コストを支払ってもよい。そうした場合、隣接する陸区域を1つ選び追加で通信確立する</t>
        </is>
      </c>
      <c r="N61" s="12" t="inlineStr">
        <is>
          <t>北洋波形転送装置</t>
        </is>
      </c>
      <c r="O61" s="12" t="n">
        <v>54</v>
      </c>
      <c r="P61" s="12">
        <f>"P"&amp;TEXT(O61,"000")&amp;".png"</f>
        <v/>
      </c>
      <c r="Q61" s="12">
        <f>fix!$B$2 &amp; "/" &amp; P61</f>
        <v/>
      </c>
      <c r="R61" s="12" t="n"/>
      <c r="S61" s="12" t="inlineStr">
        <is>
          <t>ケンタウロス</t>
        </is>
      </c>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f>ROW()-1</f>
        <v/>
      </c>
      <c r="B62" s="9">
        <f>"P"&amp;TEXT(A62,"000")</f>
        <v/>
      </c>
      <c r="C62" s="9" t="n">
        <v>0</v>
      </c>
      <c r="D62" s="9" t="n">
        <v>4</v>
      </c>
      <c r="E62" s="9" t="n">
        <v>4</v>
      </c>
      <c r="F62" s="9">
        <f t="array" ref="F62">_xlfn.XLOOKUP(D62,phase!$A$2:$A$9,phase!$C$2:$C$9)</f>
        <v/>
      </c>
      <c r="G62" s="9">
        <f t="array" ref="G62">IF(F62="N",_xlfn.XLOOKUP(E62,phase!$A$2:$A$9,phase!$C$2:$C$9),F62)</f>
        <v/>
      </c>
      <c r="H62" s="9" t="n">
        <v>8</v>
      </c>
      <c r="I62" s="9" t="n">
        <v>3</v>
      </c>
      <c r="J62" s="9" t="n">
        <v>2</v>
      </c>
      <c r="K62" s="9" t="n">
        <v>1</v>
      </c>
      <c r="L62" s="9" t="inlineStr">
        <is>
          <t>起動(通信確立)</t>
        </is>
      </c>
      <c r="M62" s="16" t="inlineStr">
        <is>
          <t>この衛星が地域B,Hで通信確立したとき、特殊通信確立コストを支払ってもよい。そうした場合、隣接する陸区域を1つ選び追加で通信確立する</t>
        </is>
      </c>
      <c r="N62" s="9" t="inlineStr">
        <is>
          <t>南露波形転送装置</t>
        </is>
      </c>
      <c r="O62" s="9" t="n">
        <v>55</v>
      </c>
      <c r="P62" s="9">
        <f>"P"&amp;TEXT(O62,"000")&amp;".png"</f>
        <v/>
      </c>
      <c r="Q62" s="9">
        <f>fix!$B$2 &amp; "/" &amp; P62</f>
        <v/>
      </c>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f>ROW()-1</f>
        <v/>
      </c>
      <c r="B63" s="12">
        <f>"P"&amp;TEXT(A63,"000")</f>
        <v/>
      </c>
      <c r="C63" s="12" t="n">
        <v>0</v>
      </c>
      <c r="D63" s="12" t="n">
        <v>7</v>
      </c>
      <c r="E63" s="12" t="n">
        <v>4</v>
      </c>
      <c r="F63" s="12">
        <f t="array" ref="F63">_xlfn.XLOOKUP(D63,phase!$A$2:$A$9,phase!$C$2:$C$9)</f>
        <v/>
      </c>
      <c r="G63" s="12">
        <f t="array" ref="G63">IF(F63="N",_xlfn.XLOOKUP(E63,phase!$A$2:$A$9,phase!$C$2:$C$9),F63)</f>
        <v/>
      </c>
      <c r="H63" s="12" t="n">
        <v>6</v>
      </c>
      <c r="I63" s="12" t="n">
        <v>2</v>
      </c>
      <c r="J63" s="12" t="n">
        <v>2</v>
      </c>
      <c r="K63" s="12" t="n">
        <v>1</v>
      </c>
      <c r="L63" s="12" t="inlineStr">
        <is>
          <t>常時</t>
        </is>
      </c>
      <c r="M63" s="15" t="inlineStr">
        <is>
          <t>この衛星が地域E,Gで通信確立する際、隣接する海区域を通信確立対象区域に加える</t>
        </is>
      </c>
      <c r="N63" s="12" t="inlineStr">
        <is>
          <t>塵芥海洋アンテナ</t>
        </is>
      </c>
      <c r="O63" s="12" t="n">
        <v>62</v>
      </c>
      <c r="P63" s="12">
        <f>"P"&amp;TEXT(O63,"000")&amp;".png"</f>
        <v/>
      </c>
      <c r="Q63" s="12">
        <f>fix!$B$2 &amp; "/" &amp; P63</f>
        <v/>
      </c>
      <c r="R63" s="12" t="n"/>
      <c r="S63" s="12" t="inlineStr">
        <is>
          <t>サブマリン</t>
        </is>
      </c>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f>ROW()-1</f>
        <v/>
      </c>
      <c r="B64" s="9">
        <f>"P"&amp;TEXT(A64,"000")</f>
        <v/>
      </c>
      <c r="C64" s="9" t="n">
        <v>0</v>
      </c>
      <c r="D64" s="9" t="n">
        <v>7</v>
      </c>
      <c r="E64" s="9" t="n">
        <v>4</v>
      </c>
      <c r="F64" s="9">
        <f t="array" ref="F64">_xlfn.XLOOKUP(D64,phase!$A$2:$A$9,phase!$C$2:$C$9)</f>
        <v/>
      </c>
      <c r="G64" s="9">
        <f t="array" ref="G64">IF(F64="N",_xlfn.XLOOKUP(E64,phase!$A$2:$A$9,phase!$C$2:$C$9),F64)</f>
        <v/>
      </c>
      <c r="H64" s="9" t="n">
        <v>6</v>
      </c>
      <c r="I64" s="9" t="n">
        <v>2</v>
      </c>
      <c r="J64" s="9" t="n">
        <v>2</v>
      </c>
      <c r="K64" s="9" t="n">
        <v>1</v>
      </c>
      <c r="L64" s="9" t="inlineStr">
        <is>
          <t>常時</t>
        </is>
      </c>
      <c r="M64" s="16" t="inlineStr">
        <is>
          <t>この衛星が地域F,Hで通信確立する際、隣接する海区域を通信確立対象区域に加える</t>
        </is>
      </c>
      <c r="N64" s="9" t="inlineStr">
        <is>
          <t>智利海洋アンテナ</t>
        </is>
      </c>
      <c r="O64" s="9" t="n">
        <v>63</v>
      </c>
      <c r="P64" s="9">
        <f>"P"&amp;TEXT(O64,"000")&amp;".png"</f>
        <v/>
      </c>
      <c r="Q64" s="9">
        <f>fix!$B$2 &amp; "/" &amp; P64</f>
        <v/>
      </c>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f>ROW()-1</f>
        <v/>
      </c>
      <c r="B65" s="12">
        <f>"P"&amp;TEXT(A65,"000")</f>
        <v/>
      </c>
      <c r="C65" s="12" t="n">
        <v>0</v>
      </c>
      <c r="D65" s="12" t="n">
        <v>7</v>
      </c>
      <c r="E65" s="12" t="n">
        <v>4</v>
      </c>
      <c r="F65" s="12">
        <f t="array" ref="F65">_xlfn.XLOOKUP(D65,phase!$A$2:$A$9,phase!$C$2:$C$9)</f>
        <v/>
      </c>
      <c r="G65" s="12">
        <f t="array" ref="G65">IF(F65="N",_xlfn.XLOOKUP(E65,phase!$A$2:$A$9,phase!$C$2:$C$9),F65)</f>
        <v/>
      </c>
      <c r="H65" s="12" t="n">
        <v>9</v>
      </c>
      <c r="I65" s="12" t="n">
        <v>2</v>
      </c>
      <c r="J65" s="12" t="n">
        <v>3</v>
      </c>
      <c r="K65" s="12" t="n">
        <v>1</v>
      </c>
      <c r="L65" s="12" t="inlineStr">
        <is>
          <t>常時</t>
        </is>
      </c>
      <c r="M65" s="15" t="inlineStr">
        <is>
          <t>この衛星が通信確立する際、進行方向に向かって前方の隣接する3区域を通信確立対象区域に加える</t>
        </is>
      </c>
      <c r="N65" s="12" t="inlineStr">
        <is>
          <t>前方ビームアンテナ</t>
        </is>
      </c>
      <c r="O65" s="12" t="n">
        <v>64</v>
      </c>
      <c r="P65" s="12">
        <f>"P"&amp;TEXT(O65,"000")&amp;".png"</f>
        <v/>
      </c>
      <c r="Q65" s="12">
        <f>fix!$B$2 &amp; "/" &amp; P65</f>
        <v/>
      </c>
      <c r="R65" s="12" t="n"/>
      <c r="S65" s="12" t="inlineStr">
        <is>
          <t>前方アンテナ</t>
        </is>
      </c>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f>ROW()-1</f>
        <v/>
      </c>
      <c r="B66" s="9">
        <f>"P"&amp;TEXT(A66,"000")</f>
        <v/>
      </c>
      <c r="C66" s="9" t="n">
        <v>0</v>
      </c>
      <c r="D66" s="9" t="n">
        <v>7</v>
      </c>
      <c r="E66" s="9" t="n">
        <v>4</v>
      </c>
      <c r="F66" s="9">
        <f t="array" ref="F66">_xlfn.XLOOKUP(D66,phase!$A$2:$A$9,phase!$C$2:$C$9)</f>
        <v/>
      </c>
      <c r="G66" s="9">
        <f t="array" ref="G66">IF(F66="N",_xlfn.XLOOKUP(E66,phase!$A$2:$A$9,phase!$C$2:$C$9),F66)</f>
        <v/>
      </c>
      <c r="H66" s="9" t="n">
        <v>10</v>
      </c>
      <c r="I66" s="9" t="n">
        <v>2</v>
      </c>
      <c r="J66" s="9" t="n">
        <v>2</v>
      </c>
      <c r="K66" s="9" t="n">
        <v>1</v>
      </c>
      <c r="L66" s="9" t="inlineStr">
        <is>
          <t>常時</t>
        </is>
      </c>
      <c r="M66" s="16" t="inlineStr">
        <is>
          <t>この衛星が通信確立する際、進行方向に向かって後方の隣接する3区域を通信確立対象区域に加える</t>
        </is>
      </c>
      <c r="N66" s="9" t="inlineStr">
        <is>
          <t>後方ビームアンテナ</t>
        </is>
      </c>
      <c r="O66" s="9" t="n">
        <v>65</v>
      </c>
      <c r="P66" s="9">
        <f>"P"&amp;TEXT(O66,"000")&amp;".png"</f>
        <v/>
      </c>
      <c r="Q66" s="9">
        <f>fix!$B$2 &amp; "/" &amp; P66</f>
        <v/>
      </c>
      <c r="R66" s="9" t="n"/>
      <c r="S66" s="9" t="inlineStr">
        <is>
          <t>後方アンテナ</t>
        </is>
      </c>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f>ROW()-1</f>
        <v/>
      </c>
      <c r="B67" s="12">
        <f>"P"&amp;TEXT(A67,"000")</f>
        <v/>
      </c>
      <c r="C67" s="12" t="n">
        <v>0</v>
      </c>
      <c r="D67" s="12" t="n">
        <v>7</v>
      </c>
      <c r="E67" s="12" t="n">
        <v>4</v>
      </c>
      <c r="F67" s="12">
        <f t="array" ref="F67">_xlfn.XLOOKUP(D67,phase!$A$2:$A$9,phase!$C$2:$C$9)</f>
        <v/>
      </c>
      <c r="G67" s="12">
        <f t="array" ref="G67">IF(F67="N",_xlfn.XLOOKUP(E67,phase!$A$2:$A$9,phase!$C$2:$C$9),F67)</f>
        <v/>
      </c>
      <c r="H67" s="12" t="n">
        <v>10</v>
      </c>
      <c r="I67" s="12" t="n">
        <v>2</v>
      </c>
      <c r="J67" s="12" t="n">
        <v>8</v>
      </c>
      <c r="K67" s="12" t="n">
        <v>1</v>
      </c>
      <c r="L67" s="12" t="inlineStr">
        <is>
          <t>常時</t>
        </is>
      </c>
      <c r="M67" s="15" t="inlineStr">
        <is>
          <t>この衛星は通信確立できない</t>
        </is>
      </c>
      <c r="N67" s="12" t="inlineStr">
        <is>
          <t>電波遮断装置</t>
        </is>
      </c>
      <c r="O67" s="12" t="n">
        <v>66</v>
      </c>
      <c r="P67" s="12">
        <f>"P"&amp;TEXT(O67,"000")&amp;".png"</f>
        <v/>
      </c>
      <c r="Q67" s="12">
        <f>fix!$B$2 &amp; "/" &amp; P67</f>
        <v/>
      </c>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f>ROW()-1</f>
        <v/>
      </c>
      <c r="B68" s="9">
        <f>"P"&amp;TEXT(A68,"000")</f>
        <v/>
      </c>
      <c r="C68" s="9" t="n">
        <v>0</v>
      </c>
      <c r="D68" s="9" t="n">
        <v>5</v>
      </c>
      <c r="E68" s="9" t="n">
        <v>5</v>
      </c>
      <c r="F68" s="9">
        <f t="array" ref="F68">_xlfn.XLOOKUP(D68,phase!$A$2:$A$9,phase!$C$2:$C$9)</f>
        <v/>
      </c>
      <c r="G68" s="9">
        <f t="array" ref="G68">IF(F68="N",_xlfn.XLOOKUP(E68,phase!$A$2:$A$9,phase!$C$2:$C$9),F68)</f>
        <v/>
      </c>
      <c r="H68" s="9" t="n">
        <v>3</v>
      </c>
      <c r="I68" s="9" t="n">
        <v>2</v>
      </c>
      <c r="J68" s="9" t="n">
        <v>2</v>
      </c>
      <c r="K68" s="9" t="n">
        <v>1</v>
      </c>
      <c r="L68" s="9" t="inlineStr">
        <is>
          <t>常時</t>
        </is>
      </c>
      <c r="M68" s="16" t="inlineStr">
        <is>
          <t>企画アクションにおいてプロジェクトカードを引く枚数が1枚増える。ただし、手札に残す枚数は変わらない</t>
        </is>
      </c>
      <c r="N68" s="9" t="inlineStr">
        <is>
          <t>チュリュモフ</t>
        </is>
      </c>
      <c r="O68" s="9" t="n">
        <v>67</v>
      </c>
      <c r="P68" s="9">
        <f>"P"&amp;TEXT(O68,"000")&amp;".png"</f>
        <v/>
      </c>
      <c r="Q68" s="9">
        <f>fix!$B$2 &amp; "/" &amp; P68</f>
        <v/>
      </c>
      <c r="R68" s="9" t="n"/>
      <c r="S68" s="9" t="inlineStr">
        <is>
          <t>ホエール</t>
        </is>
      </c>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f>ROW()-1</f>
        <v/>
      </c>
      <c r="B69" s="12">
        <f>"P"&amp;TEXT(A69,"000")</f>
        <v/>
      </c>
      <c r="C69" s="12" t="n">
        <v>0</v>
      </c>
      <c r="D69" s="12" t="n">
        <v>5</v>
      </c>
      <c r="E69" s="12" t="n">
        <v>5</v>
      </c>
      <c r="F69" s="12">
        <f t="array" ref="F69">_xlfn.XLOOKUP(D69,phase!$A$2:$A$9,phase!$C$2:$C$9)</f>
        <v/>
      </c>
      <c r="G69" s="12">
        <f t="array" ref="G69">IF(F69="N",_xlfn.XLOOKUP(E69,phase!$A$2:$A$9,phase!$C$2:$C$9),F69)</f>
        <v/>
      </c>
      <c r="H69" s="12" t="n">
        <v>4</v>
      </c>
      <c r="I69" s="12" t="n">
        <v>2</v>
      </c>
      <c r="J69" s="12" t="n">
        <v>2</v>
      </c>
      <c r="K69" s="12" t="n">
        <v>1</v>
      </c>
      <c r="L69" s="12" t="inlineStr">
        <is>
          <t>常時</t>
        </is>
      </c>
      <c r="M69" s="15" t="inlineStr">
        <is>
          <t>企画アクションでプロジェクトカードを捨てる際、企画フェイズ中に引いたカード以外を捨てることができる</t>
        </is>
      </c>
      <c r="N69" s="12" t="inlineStr">
        <is>
          <t>シャノンエントロピー</t>
        </is>
      </c>
      <c r="O69" s="12" t="n">
        <v>68</v>
      </c>
      <c r="P69" s="12">
        <f>"P"&amp;TEXT(O69,"000")&amp;".png"</f>
        <v/>
      </c>
      <c r="Q69" s="12">
        <f>fix!$B$2 &amp; "/" &amp; P69</f>
        <v/>
      </c>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f>ROW()-1</f>
        <v/>
      </c>
      <c r="B70" s="9">
        <f>"P"&amp;TEXT(A70,"000")</f>
        <v/>
      </c>
      <c r="C70" s="9" t="n">
        <v>0</v>
      </c>
      <c r="D70" s="9" t="n">
        <v>5</v>
      </c>
      <c r="E70" s="9" t="n">
        <v>5</v>
      </c>
      <c r="F70" s="9">
        <f t="array" ref="F70">_xlfn.XLOOKUP(D70,phase!$A$2:$A$9,phase!$C$2:$C$9)</f>
        <v/>
      </c>
      <c r="G70" s="9">
        <f t="array" ref="G70">IF(F70="N",_xlfn.XLOOKUP(E70,phase!$A$2:$A$9,phase!$C$2:$C$9),F70)</f>
        <v/>
      </c>
      <c r="H70" s="9" t="n">
        <v>6</v>
      </c>
      <c r="I70" s="9" t="n">
        <v>2</v>
      </c>
      <c r="J70" s="9" t="n">
        <v>2</v>
      </c>
      <c r="K70" s="9" t="n">
        <v>1</v>
      </c>
      <c r="L70" s="9" t="inlineStr">
        <is>
          <t>起動(企画)</t>
        </is>
      </c>
      <c r="M70" s="16" t="inlineStr">
        <is>
          <t>企画フェイズで4[マネー]支払ってもよい。そうした場合、+1[予算]</t>
        </is>
      </c>
      <c r="N70" s="9" t="inlineStr">
        <is>
          <t>ロスコスモス</t>
        </is>
      </c>
      <c r="O70" s="9" t="n">
        <v>69</v>
      </c>
      <c r="P70" s="9">
        <f>"P"&amp;TEXT(O70,"000")&amp;".png"</f>
        <v/>
      </c>
      <c r="Q70" s="9">
        <f>fix!$B$2 &amp; "/" &amp; P70</f>
        <v/>
      </c>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f>ROW()-1</f>
        <v/>
      </c>
      <c r="B71" s="12">
        <f>"P"&amp;TEXT(A71,"000")</f>
        <v/>
      </c>
      <c r="C71" s="12" t="n">
        <v>0</v>
      </c>
      <c r="D71" s="12" t="n">
        <v>5</v>
      </c>
      <c r="E71" s="12" t="n">
        <v>5</v>
      </c>
      <c r="F71" s="12">
        <f t="array" ref="F71">_xlfn.XLOOKUP(D71,phase!$A$2:$A$9,phase!$C$2:$C$9)</f>
        <v/>
      </c>
      <c r="G71" s="12">
        <f t="array" ref="G71">IF(F71="N",_xlfn.XLOOKUP(E71,phase!$A$2:$A$9,phase!$C$2:$C$9),F71)</f>
        <v/>
      </c>
      <c r="H71" s="12" t="n">
        <v>6</v>
      </c>
      <c r="I71" s="12" t="n">
        <v>2</v>
      </c>
      <c r="J71" s="12" t="n">
        <v>2</v>
      </c>
      <c r="K71" s="12" t="n">
        <v>1</v>
      </c>
      <c r="L71" s="12" t="inlineStr">
        <is>
          <t>起動(企画)</t>
        </is>
      </c>
      <c r="M71" s="15" t="inlineStr">
        <is>
          <t>企画フェイズでプロジェクトカードを1枚捨ててもよい。そうした場合、+7[マネー]</t>
        </is>
      </c>
      <c r="N71" s="12" t="inlineStr">
        <is>
          <t>スピンオフ</t>
        </is>
      </c>
      <c r="O71" s="12" t="n">
        <v>70</v>
      </c>
      <c r="P71" s="12">
        <f>"P"&amp;TEXT(O71,"000")&amp;".png"</f>
        <v/>
      </c>
      <c r="Q71" s="12">
        <f>fix!$B$2 &amp; "/" &amp; P71</f>
        <v/>
      </c>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f>ROW()-1</f>
        <v/>
      </c>
      <c r="B72" s="9">
        <f>"P"&amp;TEXT(A72,"000")</f>
        <v/>
      </c>
      <c r="C72" s="9" t="n">
        <v>0</v>
      </c>
      <c r="D72" s="9" t="n">
        <v>5</v>
      </c>
      <c r="E72" s="9" t="n">
        <v>5</v>
      </c>
      <c r="F72" s="9">
        <f t="array" ref="F72">_xlfn.XLOOKUP(D72,phase!$A$2:$A$9,phase!$C$2:$C$9)</f>
        <v/>
      </c>
      <c r="G72" s="9">
        <f t="array" ref="G72">IF(F72="N",_xlfn.XLOOKUP(E72,phase!$A$2:$A$9,phase!$C$2:$C$9),F72)</f>
        <v/>
      </c>
      <c r="H72" s="9" t="n">
        <v>6</v>
      </c>
      <c r="I72" s="9" t="n">
        <v>2</v>
      </c>
      <c r="J72" s="9" t="n">
        <v>2</v>
      </c>
      <c r="K72" s="9" t="n">
        <v>1</v>
      </c>
      <c r="L72" s="9" t="inlineStr">
        <is>
          <t>常時</t>
        </is>
      </c>
      <c r="M72" s="16" t="inlineStr">
        <is>
          <t>企画フェイズのアクション選択ボーナスにおいて、引く枚数・手札に残す枚数それぞれ1枚増える</t>
        </is>
      </c>
      <c r="N72" s="9" t="inlineStr">
        <is>
          <t>チャンドラセカール</t>
        </is>
      </c>
      <c r="O72" s="9" t="n">
        <v>71</v>
      </c>
      <c r="P72" s="9">
        <f>"P"&amp;TEXT(O72,"000")&amp;".png"</f>
        <v/>
      </c>
      <c r="Q72" s="9">
        <f>fix!$B$2 &amp; "/" &amp; P72</f>
        <v/>
      </c>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f>ROW()-1</f>
        <v/>
      </c>
      <c r="B73" s="12">
        <f>"P"&amp;TEXT(A73,"000")</f>
        <v/>
      </c>
      <c r="C73" s="12" t="n">
        <v>0</v>
      </c>
      <c r="D73" s="12" t="n">
        <v>5</v>
      </c>
      <c r="E73" s="12" t="n">
        <v>5</v>
      </c>
      <c r="F73" s="12">
        <f t="array" ref="F73">_xlfn.XLOOKUP(D73,phase!$A$2:$A$9,phase!$C$2:$C$9)</f>
        <v/>
      </c>
      <c r="G73" s="12">
        <f t="array" ref="G73">IF(F73="N",_xlfn.XLOOKUP(E73,phase!$A$2:$A$9,phase!$C$2:$C$9),F73)</f>
        <v/>
      </c>
      <c r="H73" s="12" t="n">
        <v>6</v>
      </c>
      <c r="I73" s="12" t="n">
        <v>3</v>
      </c>
      <c r="J73" s="12" t="n">
        <v>2</v>
      </c>
      <c r="K73" s="12" t="n">
        <v>1</v>
      </c>
      <c r="L73" s="12" t="inlineStr">
        <is>
          <t>起動(企画)</t>
        </is>
      </c>
      <c r="M73" s="15" t="inlineStr">
        <is>
          <t>企画アクションで4/7/10[マネー]支払ってもよい。そうした場合、手札に残す枚数が1/2/3枚増える</t>
        </is>
      </c>
      <c r="N73" s="12" t="inlineStr">
        <is>
          <t>ランチェスター</t>
        </is>
      </c>
      <c r="O73" s="12" t="n">
        <v>72</v>
      </c>
      <c r="P73" s="12">
        <f>"P"&amp;TEXT(O73,"000")&amp;".png"</f>
        <v/>
      </c>
      <c r="Q73" s="12">
        <f>fix!$B$2 &amp; "/" &amp; P73</f>
        <v/>
      </c>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f>ROW()-1</f>
        <v/>
      </c>
      <c r="B74" s="9">
        <f>"P"&amp;TEXT(A74,"000")</f>
        <v/>
      </c>
      <c r="C74" s="9" t="n">
        <v>0</v>
      </c>
      <c r="D74" s="9" t="n">
        <v>5</v>
      </c>
      <c r="E74" s="9" t="n">
        <v>5</v>
      </c>
      <c r="F74" s="9">
        <f t="array" ref="F74">_xlfn.XLOOKUP(D74,phase!$A$2:$A$9,phase!$C$2:$C$9)</f>
        <v/>
      </c>
      <c r="G74" s="9">
        <f t="array" ref="G74">IF(F74="N",_xlfn.XLOOKUP(E74,phase!$A$2:$A$9,phase!$C$2:$C$9),F74)</f>
        <v/>
      </c>
      <c r="H74" s="9" t="n">
        <v>9</v>
      </c>
      <c r="I74" s="9" t="n">
        <v>3</v>
      </c>
      <c r="J74" s="9" t="n">
        <v>2</v>
      </c>
      <c r="K74" s="9" t="n">
        <v>1</v>
      </c>
      <c r="L74" s="9" t="inlineStr">
        <is>
          <t>常時</t>
        </is>
      </c>
      <c r="M74" s="16" t="inlineStr">
        <is>
          <t>企画アクションにおいて手札に残す枚数が1枚増える</t>
        </is>
      </c>
      <c r="N74" s="9" t="inlineStr">
        <is>
          <t>テスラメモリー</t>
        </is>
      </c>
      <c r="O74" s="9" t="n">
        <v>74</v>
      </c>
      <c r="P74" s="9">
        <f>"P"&amp;TEXT(O74,"000")&amp;".png"</f>
        <v/>
      </c>
      <c r="Q74" s="9">
        <f>fix!$B$2 &amp; "/" &amp; P74</f>
        <v/>
      </c>
      <c r="R74" s="9" t="n"/>
      <c r="S74" s="9" t="inlineStr">
        <is>
          <t>コワーキングスペース</t>
        </is>
      </c>
      <c r="T74" s="9" t="inlineStr">
        <is>
          <t>実のある会議ができるようになる？</t>
        </is>
      </c>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f>ROW()-1</f>
        <v/>
      </c>
      <c r="B75" s="12">
        <f>"P"&amp;TEXT(A75,"000")</f>
        <v/>
      </c>
      <c r="C75" s="12" t="n">
        <v>0</v>
      </c>
      <c r="D75" s="12" t="n">
        <v>5</v>
      </c>
      <c r="E75" s="12" t="n">
        <v>5</v>
      </c>
      <c r="F75" s="12">
        <f t="array" ref="F75">_xlfn.XLOOKUP(D75,phase!$A$2:$A$9,phase!$C$2:$C$9)</f>
        <v/>
      </c>
      <c r="G75" s="12">
        <f t="array" ref="G75">IF(F75="N",_xlfn.XLOOKUP(E75,phase!$A$2:$A$9,phase!$C$2:$C$9),F75)</f>
        <v/>
      </c>
      <c r="H75" s="12" t="n">
        <v>10</v>
      </c>
      <c r="I75" s="12" t="n">
        <v>2</v>
      </c>
      <c r="J75" s="12" t="n">
        <v>2</v>
      </c>
      <c r="K75" s="12" t="n">
        <v>1</v>
      </c>
      <c r="L75" s="12" t="inlineStr">
        <is>
          <t>起動(企画)</t>
        </is>
      </c>
      <c r="M75" s="15" t="inlineStr">
        <is>
          <t>企画フェイズでプロジェクトカードを1枚捨ててもよい。そうした場合、プロジェクトカードを1枚選んで配備コストを支払って自分の好きな衛星に配備する</t>
        </is>
      </c>
      <c r="N75" s="12" t="inlineStr">
        <is>
          <t>ゼロデイデプロイ</t>
        </is>
      </c>
      <c r="O75" s="12" t="n">
        <v>75</v>
      </c>
      <c r="P75" s="12">
        <f>"P"&amp;TEXT(O75,"000")&amp;".png"</f>
        <v/>
      </c>
      <c r="Q75" s="12">
        <f>fix!$B$2 &amp; "/" &amp; P75</f>
        <v/>
      </c>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f>ROW()-1</f>
        <v/>
      </c>
      <c r="B76" s="9">
        <f>"P"&amp;TEXT(A76,"000")</f>
        <v/>
      </c>
      <c r="C76" s="9" t="n">
        <v>0</v>
      </c>
      <c r="D76" s="9" t="n">
        <v>5</v>
      </c>
      <c r="E76" s="9" t="n">
        <v>5</v>
      </c>
      <c r="F76" s="9">
        <f t="array" ref="F76">_xlfn.XLOOKUP(D76,phase!$A$2:$A$9,phase!$C$2:$C$9)</f>
        <v/>
      </c>
      <c r="G76" s="9">
        <f t="array" ref="G76">IF(F76="N",_xlfn.XLOOKUP(E76,phase!$A$2:$A$9,phase!$C$2:$C$9),F76)</f>
        <v/>
      </c>
      <c r="H76" s="9" t="n">
        <v>10</v>
      </c>
      <c r="I76" s="9" t="n">
        <v>3</v>
      </c>
      <c r="J76" s="9" t="n">
        <v>1</v>
      </c>
      <c r="K76" s="9" t="n">
        <v>1</v>
      </c>
      <c r="L76" s="9" t="inlineStr">
        <is>
          <t>常時</t>
        </is>
      </c>
      <c r="M76" s="16" t="inlineStr">
        <is>
          <t>企画アクションでプロジェクトカードを引いた枚数1枚につき+1[マネー]</t>
        </is>
      </c>
      <c r="N76" s="9" t="inlineStr">
        <is>
          <t>ファラデー</t>
        </is>
      </c>
      <c r="O76" s="9" t="n">
        <v>73</v>
      </c>
      <c r="P76" s="9">
        <f>"P"&amp;TEXT(O76,"000")&amp;".png"</f>
        <v/>
      </c>
      <c r="Q76" s="9">
        <f>fix!$B$2 &amp; "/" &amp; P76</f>
        <v/>
      </c>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f>ROW()-1</f>
        <v/>
      </c>
      <c r="B77" s="12">
        <f>"P"&amp;TEXT(A77,"000")</f>
        <v/>
      </c>
      <c r="C77" s="12" t="n">
        <v>0</v>
      </c>
      <c r="D77" s="12" t="n">
        <v>5</v>
      </c>
      <c r="E77" s="12" t="n">
        <v>5</v>
      </c>
      <c r="F77" s="12">
        <f t="array" ref="F77">_xlfn.XLOOKUP(D77,phase!$A$2:$A$9,phase!$C$2:$C$9)</f>
        <v/>
      </c>
      <c r="G77" s="12">
        <f t="array" ref="G77">IF(F77="N",_xlfn.XLOOKUP(E77,phase!$A$2:$A$9,phase!$C$2:$C$9),F77)</f>
        <v/>
      </c>
      <c r="H77" s="12" t="n">
        <v>10</v>
      </c>
      <c r="I77" s="12" t="n">
        <v>3</v>
      </c>
      <c r="J77" s="12" t="n">
        <v>3</v>
      </c>
      <c r="K77" s="12" t="n">
        <v>1</v>
      </c>
      <c r="L77" s="12" t="inlineStr">
        <is>
          <t>起動(企画)</t>
        </is>
      </c>
      <c r="M77"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77" s="12" t="inlineStr">
        <is>
          <t>グラウンドリンク</t>
        </is>
      </c>
      <c r="O77" s="12" t="n">
        <v>76</v>
      </c>
      <c r="P77" s="12">
        <f>"P"&amp;TEXT(O77,"000")&amp;".png"</f>
        <v/>
      </c>
      <c r="Q77" s="12">
        <f>fix!$B$2 &amp; "/" &amp; P77</f>
        <v/>
      </c>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f>ROW()-1</f>
        <v/>
      </c>
      <c r="B78" s="9">
        <f>"P"&amp;TEXT(A78,"000")</f>
        <v/>
      </c>
      <c r="C78" s="9" t="n">
        <v>0</v>
      </c>
      <c r="D78" s="9" t="n">
        <v>7</v>
      </c>
      <c r="E78" s="9" t="n">
        <v>5</v>
      </c>
      <c r="F78" s="9">
        <f t="array" ref="F78">_xlfn.XLOOKUP(D78,phase!$A$2:$A$9,phase!$C$2:$C$9)</f>
        <v/>
      </c>
      <c r="G78" s="9">
        <f t="array" ref="G78">IF(F78="N",_xlfn.XLOOKUP(E78,phase!$A$2:$A$9,phase!$C$2:$C$9),F78)</f>
        <v/>
      </c>
      <c r="H78" s="9" t="n">
        <v>7</v>
      </c>
      <c r="I78" s="9" t="n">
        <v>2</v>
      </c>
      <c r="J78" s="9" t="n">
        <v>3</v>
      </c>
      <c r="K78" s="9" t="n">
        <v>1</v>
      </c>
      <c r="L78" s="9" t="inlineStr">
        <is>
          <t>常時</t>
        </is>
      </c>
      <c r="M78" s="16" t="inlineStr">
        <is>
          <t>いつでも自分はプロジェクトカードを[マネー]に変換する際に獲得できる[マネー]+2</t>
        </is>
      </c>
      <c r="N78" s="9" t="inlineStr">
        <is>
          <t>オライオンリワード</t>
        </is>
      </c>
      <c r="O78" s="9" t="n">
        <v>77</v>
      </c>
      <c r="P78" s="9">
        <f>"P"&amp;TEXT(O78,"000")&amp;".png"</f>
        <v/>
      </c>
      <c r="Q78" s="9">
        <f>fix!$B$2 &amp; "/" &amp; P78</f>
        <v/>
      </c>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f>ROW()-1</f>
        <v/>
      </c>
      <c r="B79" s="12">
        <f>"P"&amp;TEXT(A79,"000")</f>
        <v/>
      </c>
      <c r="C79" s="12" t="n">
        <v>0</v>
      </c>
      <c r="D79" s="12" t="n">
        <v>6</v>
      </c>
      <c r="E79" s="12" t="n">
        <v>6</v>
      </c>
      <c r="F79" s="12">
        <f t="array" ref="F79">_xlfn.XLOOKUP(D79,phase!$A$2:$A$9,phase!$C$2:$C$9)</f>
        <v/>
      </c>
      <c r="G79" s="12">
        <f t="array" ref="G79">IF(F79="N",_xlfn.XLOOKUP(E79,phase!$A$2:$A$9,phase!$C$2:$C$9),F79)</f>
        <v/>
      </c>
      <c r="H79" s="12" t="n">
        <v>3</v>
      </c>
      <c r="I79" s="12" t="n">
        <v>2</v>
      </c>
      <c r="J79" s="12" t="n">
        <v>2</v>
      </c>
      <c r="K79" s="12" t="n">
        <v>1</v>
      </c>
      <c r="L79" s="12" t="inlineStr">
        <is>
          <t>起動(着陸)</t>
        </is>
      </c>
      <c r="M79" s="15" t="inlineStr">
        <is>
          <t>自分の衛星が着陸/着水したとき、プロジェクトカードを1枚引く</t>
        </is>
      </c>
      <c r="N79" s="12" t="inlineStr">
        <is>
          <t>アポロダウン</t>
        </is>
      </c>
      <c r="O79" s="12" t="n">
        <v>78</v>
      </c>
      <c r="P79" s="12">
        <f>"P"&amp;TEXT(O79,"000")&amp;".png"</f>
        <v/>
      </c>
      <c r="Q79" s="12">
        <f>fix!$B$2 &amp; "/" &amp; P79</f>
        <v/>
      </c>
      <c r="R79" s="12" t="n"/>
      <c r="S79" s="12" t="inlineStr">
        <is>
          <t>国民的宇宙飛行士</t>
        </is>
      </c>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f>ROW()-1</f>
        <v/>
      </c>
      <c r="B80" s="9">
        <f>"P"&amp;TEXT(A80,"000")</f>
        <v/>
      </c>
      <c r="C80" s="9" t="n">
        <v>0</v>
      </c>
      <c r="D80" s="9" t="n">
        <v>6</v>
      </c>
      <c r="E80" s="9" t="n">
        <v>6</v>
      </c>
      <c r="F80" s="9">
        <f t="array" ref="F80">_xlfn.XLOOKUP(D80,phase!$A$2:$A$9,phase!$C$2:$C$9)</f>
        <v/>
      </c>
      <c r="G80" s="9">
        <f t="array" ref="G80">IF(F80="N",_xlfn.XLOOKUP(E80,phase!$A$2:$A$9,phase!$C$2:$C$9),F80)</f>
        <v/>
      </c>
      <c r="H80" s="9" t="n">
        <v>4</v>
      </c>
      <c r="I80" s="9" t="n">
        <v>1</v>
      </c>
      <c r="J80" s="9" t="n">
        <v>1</v>
      </c>
      <c r="K80" s="9" t="n">
        <v>1</v>
      </c>
      <c r="L80" s="9" t="inlineStr">
        <is>
          <t>起動(特定地域上空)</t>
        </is>
      </c>
      <c r="M80" s="16" t="inlineStr">
        <is>
          <t>この衛星に[Crew][Device][Software]が全て配備されていれば、この衛星はA,H上空で燃料を消費しない</t>
        </is>
      </c>
      <c r="N80" s="9" t="inlineStr">
        <is>
          <t>ゼログラビティα</t>
        </is>
      </c>
      <c r="O80" s="9" t="n">
        <v>90</v>
      </c>
      <c r="P80" s="9">
        <f>"P"&amp;TEXT(O80,"000")&amp;".png"</f>
        <v/>
      </c>
      <c r="Q80" s="9">
        <f>fix!$B$2 &amp; "/" &amp; P80</f>
        <v/>
      </c>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f>ROW()-1</f>
        <v/>
      </c>
      <c r="B81" s="12">
        <f>"P"&amp;TEXT(A81,"000")</f>
        <v/>
      </c>
      <c r="C81" s="12" t="n">
        <v>0</v>
      </c>
      <c r="D81" s="12" t="n">
        <v>6</v>
      </c>
      <c r="E81" s="12" t="n">
        <v>6</v>
      </c>
      <c r="F81" s="12">
        <f t="array" ref="F81">_xlfn.XLOOKUP(D81,phase!$A$2:$A$9,phase!$C$2:$C$9)</f>
        <v/>
      </c>
      <c r="G81" s="12">
        <f t="array" ref="G81">IF(F81="N",_xlfn.XLOOKUP(E81,phase!$A$2:$A$9,phase!$C$2:$C$9),F81)</f>
        <v/>
      </c>
      <c r="H81" s="12" t="n">
        <v>4</v>
      </c>
      <c r="I81" s="12" t="n">
        <v>1</v>
      </c>
      <c r="J81" s="12" t="n">
        <v>1</v>
      </c>
      <c r="K81" s="12" t="n">
        <v>1</v>
      </c>
      <c r="L81" s="12" t="inlineStr">
        <is>
          <t>起動(特定地域上空)</t>
        </is>
      </c>
      <c r="M81" s="15" t="inlineStr">
        <is>
          <t>この衛星に[Crew][Device][Software]が全て配備されていれば、この衛星はB,E上空で燃料を消費しない</t>
        </is>
      </c>
      <c r="N81" s="12" t="inlineStr">
        <is>
          <t>ゼログラビティβ</t>
        </is>
      </c>
      <c r="O81" s="12" t="n">
        <v>91</v>
      </c>
      <c r="P81" s="12">
        <f>"P"&amp;TEXT(O81,"000")&amp;".png"</f>
        <v/>
      </c>
      <c r="Q81" s="12">
        <f>fix!$B$2 &amp; "/" &amp; P81</f>
        <v/>
      </c>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f>ROW()-1</f>
        <v/>
      </c>
      <c r="B82" s="9">
        <f>"P"&amp;TEXT(A82,"000")</f>
        <v/>
      </c>
      <c r="C82" s="9" t="n">
        <v>0</v>
      </c>
      <c r="D82" s="9" t="n">
        <v>6</v>
      </c>
      <c r="E82" s="9" t="n">
        <v>6</v>
      </c>
      <c r="F82" s="9">
        <f t="array" ref="F82">_xlfn.XLOOKUP(D82,phase!$A$2:$A$9,phase!$C$2:$C$9)</f>
        <v/>
      </c>
      <c r="G82" s="9">
        <f t="array" ref="G82">IF(F82="N",_xlfn.XLOOKUP(E82,phase!$A$2:$A$9,phase!$C$2:$C$9),F82)</f>
        <v/>
      </c>
      <c r="H82" s="9" t="n">
        <v>4</v>
      </c>
      <c r="I82" s="9" t="n">
        <v>2</v>
      </c>
      <c r="J82" s="9" t="n">
        <v>2</v>
      </c>
      <c r="K82" s="9" t="n">
        <v>1</v>
      </c>
      <c r="L82" s="9" t="inlineStr">
        <is>
          <t>起動(通信確立上空)</t>
        </is>
      </c>
      <c r="M82" s="16" t="inlineStr">
        <is>
          <t>この衛星が自分の通信確立済み区域の上空に突入したとき、2[マネー]支払ってもよい。そうした場合、この衛星を進行方向に1区域進め、燃料を1消費する</t>
        </is>
      </c>
      <c r="N82" s="9" t="inlineStr">
        <is>
          <t>ホーマンブースター</t>
        </is>
      </c>
      <c r="O82" s="9" t="n">
        <v>79</v>
      </c>
      <c r="P82" s="9">
        <f>"P"&amp;TEXT(O82,"000")&amp;".png"</f>
        <v/>
      </c>
      <c r="Q82" s="9">
        <f>fix!$B$2 &amp; "/" &amp; P82</f>
        <v/>
      </c>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f>ROW()-1</f>
        <v/>
      </c>
      <c r="B83" s="12">
        <f>"P"&amp;TEXT(A83,"000")</f>
        <v/>
      </c>
      <c r="C83" s="12" t="n">
        <v>0</v>
      </c>
      <c r="D83" s="12" t="n">
        <v>6</v>
      </c>
      <c r="E83" s="12" t="n">
        <v>6</v>
      </c>
      <c r="F83" s="12">
        <f t="array" ref="F83">_xlfn.XLOOKUP(D83,phase!$A$2:$A$9,phase!$C$2:$C$9)</f>
        <v/>
      </c>
      <c r="G83" s="12">
        <f t="array" ref="G83">IF(F83="N",_xlfn.XLOOKUP(E83,phase!$A$2:$A$9,phase!$C$2:$C$9),F83)</f>
        <v/>
      </c>
      <c r="H83" s="12" t="n">
        <v>4</v>
      </c>
      <c r="I83" s="12" t="n">
        <v>2</v>
      </c>
      <c r="J83" s="12" t="n">
        <v>2</v>
      </c>
      <c r="K83" s="12" t="n">
        <v>1</v>
      </c>
      <c r="L83" s="12" t="inlineStr">
        <is>
          <t>起動(循環CDS)</t>
        </is>
      </c>
      <c r="M83" s="15" t="inlineStr">
        <is>
          <t>この衛星に[Crew],[Device],[Software]が配備されているならば、循環フェイズでこの衛星は1区域追加で移動してもよい。そうした場合、燃料を1消費し、移動した先の区域でニアミス判定は行われる。</t>
        </is>
      </c>
      <c r="N83" s="12" t="inlineStr">
        <is>
          <t>トライアドブースター</t>
        </is>
      </c>
      <c r="O83" s="12" t="n">
        <v>80</v>
      </c>
      <c r="P83" s="12">
        <f>"P"&amp;TEXT(O83,"000")&amp;".png"</f>
        <v/>
      </c>
      <c r="Q83" s="12">
        <f>fix!$B$2 &amp; "/" &amp; P83</f>
        <v/>
      </c>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f>ROW()-1</f>
        <v/>
      </c>
      <c r="B84" s="9">
        <f>"P"&amp;TEXT(A84,"000")</f>
        <v/>
      </c>
      <c r="C84" s="9" t="n">
        <v>0</v>
      </c>
      <c r="D84" s="9" t="n">
        <v>6</v>
      </c>
      <c r="E84" s="9" t="n">
        <v>6</v>
      </c>
      <c r="F84" s="9">
        <f t="array" ref="F84">_xlfn.XLOOKUP(D84,phase!$A$2:$A$9,phase!$C$2:$C$9)</f>
        <v/>
      </c>
      <c r="G84" s="9">
        <f t="array" ref="G84">IF(F84="N",_xlfn.XLOOKUP(E84,phase!$A$2:$A$9,phase!$C$2:$C$9),F84)</f>
        <v/>
      </c>
      <c r="H84" s="9" t="n">
        <v>4</v>
      </c>
      <c r="I84" s="9" t="n">
        <v>2</v>
      </c>
      <c r="J84" s="9" t="n">
        <v>2</v>
      </c>
      <c r="K84" s="9" t="n">
        <v>1</v>
      </c>
      <c r="L84" s="9" t="inlineStr">
        <is>
          <t>起動(特定地域上空)</t>
        </is>
      </c>
      <c r="M84" s="16" t="inlineStr">
        <is>
          <t>この衛星が別地域から地域A,C,Hの上空に突入したとき、燃料を2回復する。</t>
        </is>
      </c>
      <c r="N84" s="9" t="inlineStr">
        <is>
          <t>アルベドリフィル</t>
        </is>
      </c>
      <c r="O84" s="9" t="n">
        <v>81</v>
      </c>
      <c r="P84" s="9">
        <f>"P"&amp;TEXT(O84,"000")&amp;".png"</f>
        <v/>
      </c>
      <c r="Q84" s="9">
        <f>fix!$B$2 &amp; "/" &amp; P84</f>
        <v/>
      </c>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f>ROW()-1</f>
        <v/>
      </c>
      <c r="B85" s="12">
        <f>"P"&amp;TEXT(A85,"000")</f>
        <v/>
      </c>
      <c r="C85" s="12" t="n">
        <v>0</v>
      </c>
      <c r="D85" s="12" t="n">
        <v>6</v>
      </c>
      <c r="E85" s="12" t="n">
        <v>6</v>
      </c>
      <c r="F85" s="12">
        <f t="array" ref="F85">_xlfn.XLOOKUP(D85,phase!$A$2:$A$9,phase!$C$2:$C$9)</f>
        <v/>
      </c>
      <c r="G85" s="12">
        <f t="array" ref="G85">IF(F85="N",_xlfn.XLOOKUP(E85,phase!$A$2:$A$9,phase!$C$2:$C$9),F85)</f>
        <v/>
      </c>
      <c r="H85" s="12" t="n">
        <v>4</v>
      </c>
      <c r="I85" s="12" t="n">
        <v>2</v>
      </c>
      <c r="J85" s="12" t="n">
        <v>2</v>
      </c>
      <c r="K85" s="12" t="n">
        <v>1</v>
      </c>
      <c r="L85" s="12" t="inlineStr">
        <is>
          <t>起動(特定地域上空)</t>
        </is>
      </c>
      <c r="M85" s="15" t="inlineStr">
        <is>
          <t>この衛星が別地域から地域D,F,Hの上空に突入したとき、燃料を2回復する。</t>
        </is>
      </c>
      <c r="N85" s="12" t="inlineStr">
        <is>
          <t>ジオサーマルリフィル</t>
        </is>
      </c>
      <c r="O85" s="12" t="n">
        <v>82</v>
      </c>
      <c r="P85" s="12">
        <f>"P"&amp;TEXT(O85,"000")&amp;".png"</f>
        <v/>
      </c>
      <c r="Q85" s="12">
        <f>fix!$B$2 &amp; "/" &amp; P85</f>
        <v/>
      </c>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f>ROW()-1</f>
        <v/>
      </c>
      <c r="B86" s="9">
        <f>"P"&amp;TEXT(A86,"000")</f>
        <v/>
      </c>
      <c r="C86" s="9" t="n">
        <v>0</v>
      </c>
      <c r="D86" s="9" t="n">
        <v>6</v>
      </c>
      <c r="E86" s="9" t="n">
        <v>6</v>
      </c>
      <c r="F86" s="9">
        <f t="array" ref="F86">_xlfn.XLOOKUP(D86,phase!$A$2:$A$9,phase!$C$2:$C$9)</f>
        <v/>
      </c>
      <c r="G86" s="9">
        <f t="array" ref="G86">IF(F86="N",_xlfn.XLOOKUP(E86,phase!$A$2:$A$9,phase!$C$2:$C$9),F86)</f>
        <v/>
      </c>
      <c r="H86" s="9" t="n">
        <v>4</v>
      </c>
      <c r="I86" s="9" t="n">
        <v>2</v>
      </c>
      <c r="J86" s="9" t="n">
        <v>2</v>
      </c>
      <c r="K86" s="9" t="n">
        <v>1</v>
      </c>
      <c r="L86" s="9" t="inlineStr">
        <is>
          <t>常時</t>
        </is>
      </c>
      <c r="M86" s="16" t="inlineStr">
        <is>
          <t>この衛星は、他の衛星とニアミスしたとき消費する燃料は1で済む</t>
        </is>
      </c>
      <c r="N86" s="9" t="inlineStr">
        <is>
          <t>ケスラー回避システム</t>
        </is>
      </c>
      <c r="O86" s="9" t="n">
        <v>86</v>
      </c>
      <c r="P86" s="9">
        <f>"P"&amp;TEXT(O86,"000")&amp;".png"</f>
        <v/>
      </c>
      <c r="Q86" s="9">
        <f>fix!$B$2 &amp; "/" &amp; P86</f>
        <v/>
      </c>
      <c r="R86" s="9" t="n"/>
      <c r="S86" s="9" t="inlineStr">
        <is>
          <t>緊急回避用ジェット</t>
        </is>
      </c>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f>ROW()-1</f>
        <v/>
      </c>
      <c r="B87" s="12">
        <f>"P"&amp;TEXT(A87,"000")</f>
        <v/>
      </c>
      <c r="C87" s="12" t="n">
        <v>0</v>
      </c>
      <c r="D87" s="12" t="n">
        <v>6</v>
      </c>
      <c r="E87" s="12" t="n">
        <v>6</v>
      </c>
      <c r="F87" s="12">
        <f t="array" ref="F87">_xlfn.XLOOKUP(D87,phase!$A$2:$A$9,phase!$C$2:$C$9)</f>
        <v/>
      </c>
      <c r="G87" s="12">
        <f t="array" ref="G87">IF(F87="N",_xlfn.XLOOKUP(E87,phase!$A$2:$A$9,phase!$C$2:$C$9),F87)</f>
        <v/>
      </c>
      <c r="H87" s="12" t="n">
        <v>4</v>
      </c>
      <c r="I87" s="12" t="n">
        <v>3</v>
      </c>
      <c r="J87" s="12" t="n">
        <v>2</v>
      </c>
      <c r="K87" s="12" t="n">
        <v>1</v>
      </c>
      <c r="L87" s="12" t="inlineStr">
        <is>
          <t>起動(通信確立上空)</t>
        </is>
      </c>
      <c r="M87" s="15" t="inlineStr">
        <is>
          <t>この衛星が自分の通信確立済み区域の上空に突入したとき、3[マネー]支払ってもよい。そうした場合、プロジェクトカードを1枚引く</t>
        </is>
      </c>
      <c r="N87" s="12" t="inlineStr">
        <is>
          <t>データダウンリンク</t>
        </is>
      </c>
      <c r="O87" s="12" t="n">
        <v>88</v>
      </c>
      <c r="P87" s="12">
        <f>"P"&amp;TEXT(O87,"000")&amp;".png"</f>
        <v/>
      </c>
      <c r="Q87" s="12">
        <f>fix!$B$2 &amp; "/" &amp; P87</f>
        <v/>
      </c>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f>ROW()-1</f>
        <v/>
      </c>
      <c r="B88" s="9">
        <f>"P"&amp;TEXT(A88,"000")</f>
        <v/>
      </c>
      <c r="C88" s="9" t="n">
        <v>0</v>
      </c>
      <c r="D88" s="9" t="n">
        <v>6</v>
      </c>
      <c r="E88" s="9" t="n">
        <v>6</v>
      </c>
      <c r="F88" s="9">
        <f t="array" ref="F88">_xlfn.XLOOKUP(D88,phase!$A$2:$A$9,phase!$C$2:$C$9)</f>
        <v/>
      </c>
      <c r="G88" s="9">
        <f t="array" ref="G88">IF(F88="N",_xlfn.XLOOKUP(E88,phase!$A$2:$A$9,phase!$C$2:$C$9),F88)</f>
        <v/>
      </c>
      <c r="H88" s="9" t="n">
        <v>4</v>
      </c>
      <c r="I88" s="9" t="n">
        <v>3</v>
      </c>
      <c r="J88" s="9" t="n">
        <v>2</v>
      </c>
      <c r="K88" s="9" t="n">
        <v>1</v>
      </c>
      <c r="L88" s="9" t="inlineStr">
        <is>
          <t>起動(循環)</t>
        </is>
      </c>
      <c r="M88" s="16" t="inlineStr">
        <is>
          <t>循環フェイズ開始時、プロジェクトカードを1枚引く。その後、手札からプロジェクトカードを1枚捨てる。</t>
        </is>
      </c>
      <c r="N88" s="9" t="inlineStr">
        <is>
          <t>データローリング</t>
        </is>
      </c>
      <c r="O88" s="9" t="n">
        <v>89</v>
      </c>
      <c r="P88" s="9">
        <f>"P"&amp;TEXT(O88,"000")&amp;".png"</f>
        <v/>
      </c>
      <c r="Q88" s="9">
        <f>fix!$B$2 &amp; "/" &amp; P88</f>
        <v/>
      </c>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f>ROW()-1</f>
        <v/>
      </c>
      <c r="B89" s="12">
        <f>"P"&amp;TEXT(A89,"000")</f>
        <v/>
      </c>
      <c r="C89" s="12" t="n">
        <v>0</v>
      </c>
      <c r="D89" s="12" t="n">
        <v>6</v>
      </c>
      <c r="E89" s="12" t="n">
        <v>6</v>
      </c>
      <c r="F89" s="12">
        <f t="array" ref="F89">_xlfn.XLOOKUP(D89,phase!$A$2:$A$9,phase!$C$2:$C$9)</f>
        <v/>
      </c>
      <c r="G89" s="12">
        <f t="array" ref="G89">IF(F89="N",_xlfn.XLOOKUP(E89,phase!$A$2:$A$9,phase!$C$2:$C$9),F89)</f>
        <v/>
      </c>
      <c r="H89" s="12" t="n">
        <v>5</v>
      </c>
      <c r="I89" s="12" t="n">
        <v>2</v>
      </c>
      <c r="J89" s="12" t="n">
        <v>2</v>
      </c>
      <c r="K89" s="12" t="n">
        <v>1</v>
      </c>
      <c r="L89" s="12" t="inlineStr">
        <is>
          <t>起動(着陸)</t>
        </is>
      </c>
      <c r="M89" s="15" t="inlineStr">
        <is>
          <t>自分の衛星が着陸/着水したとき、 +8[マネー]</t>
        </is>
      </c>
      <c r="N89" s="12" t="inlineStr">
        <is>
          <t>ハイゲンスダウン</t>
        </is>
      </c>
      <c r="O89" s="12" t="n">
        <v>83</v>
      </c>
      <c r="P89" s="12">
        <f>"P"&amp;TEXT(O89,"000")&amp;".png"</f>
        <v/>
      </c>
      <c r="Q89" s="12">
        <f>fix!$B$2 &amp; "/" &amp; P89</f>
        <v/>
      </c>
      <c r="R89" s="12" t="n"/>
      <c r="S89" s="12" t="inlineStr">
        <is>
          <t>耐衝撃ボディ</t>
        </is>
      </c>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f>ROW()-1</f>
        <v/>
      </c>
      <c r="B90" s="9">
        <f>"P"&amp;TEXT(A90,"000")</f>
        <v/>
      </c>
      <c r="C90" s="9" t="n">
        <v>0</v>
      </c>
      <c r="D90" s="9" t="n">
        <v>6</v>
      </c>
      <c r="E90" s="9" t="n">
        <v>6</v>
      </c>
      <c r="F90" s="9">
        <f t="array" ref="F90">_xlfn.XLOOKUP(D90,phase!$A$2:$A$9,phase!$C$2:$C$9)</f>
        <v/>
      </c>
      <c r="G90" s="9">
        <f t="array" ref="G90">IF(F90="N",_xlfn.XLOOKUP(E90,phase!$A$2:$A$9,phase!$C$2:$C$9),F90)</f>
        <v/>
      </c>
      <c r="H90" s="9" t="n">
        <v>5</v>
      </c>
      <c r="I90" s="9" t="n">
        <v>2</v>
      </c>
      <c r="J90" s="9" t="n">
        <v>2</v>
      </c>
      <c r="K90" s="9" t="n">
        <v>1</v>
      </c>
      <c r="L90" s="9" t="inlineStr">
        <is>
          <t>起動(着陸)</t>
        </is>
      </c>
      <c r="M90" s="16" t="inlineStr">
        <is>
          <t>自分の衛星が陸区域に着陸したとき、+15[マネー]</t>
        </is>
      </c>
      <c r="N90" s="9" t="inlineStr">
        <is>
          <t>ランディングダウン</t>
        </is>
      </c>
      <c r="O90" s="9" t="n">
        <v>84</v>
      </c>
      <c r="P90" s="9">
        <f>"P"&amp;TEXT(O90,"000")&amp;".png"</f>
        <v/>
      </c>
      <c r="Q90" s="9">
        <f>fix!$B$2 &amp; "/" &amp; P90</f>
        <v/>
      </c>
      <c r="R90" s="9" t="n"/>
      <c r="S90" s="9" t="inlineStr">
        <is>
          <t>着陸用の脚</t>
        </is>
      </c>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f>ROW()-1</f>
        <v/>
      </c>
      <c r="B91" s="12">
        <f>"P"&amp;TEXT(A91,"000")</f>
        <v/>
      </c>
      <c r="C91" s="12" t="n">
        <v>0</v>
      </c>
      <c r="D91" s="12" t="n">
        <v>6</v>
      </c>
      <c r="E91" s="12" t="n">
        <v>6</v>
      </c>
      <c r="F91" s="12">
        <f t="array" ref="F91">_xlfn.XLOOKUP(D91,phase!$A$2:$A$9,phase!$C$2:$C$9)</f>
        <v/>
      </c>
      <c r="G91" s="12">
        <f t="array" ref="G91">IF(F91="N",_xlfn.XLOOKUP(E91,phase!$A$2:$A$9,phase!$C$2:$C$9),F91)</f>
        <v/>
      </c>
      <c r="H91" s="12" t="n">
        <v>5</v>
      </c>
      <c r="I91" s="12" t="n">
        <v>2</v>
      </c>
      <c r="J91" s="12" t="n">
        <v>2</v>
      </c>
      <c r="K91" s="12" t="n">
        <v>1</v>
      </c>
      <c r="L91" s="12" t="inlineStr">
        <is>
          <t>起動(地域移動)</t>
        </is>
      </c>
      <c r="M91" s="15" t="inlineStr">
        <is>
          <t>この衛星が地域間を移動したとき、転回してもよい</t>
        </is>
      </c>
      <c r="N91" s="12" t="inlineStr">
        <is>
          <t>ギムバル制御</t>
        </is>
      </c>
      <c r="O91" s="12" t="n">
        <v>87</v>
      </c>
      <c r="P91" s="12">
        <f>"P"&amp;TEXT(O91,"000")&amp;".png"</f>
        <v/>
      </c>
      <c r="Q91" s="12">
        <f>fix!$B$2 &amp; "/" &amp; P91</f>
        <v/>
      </c>
      <c r="R91" s="12" t="n"/>
      <c r="S91" s="12" t="inlineStr">
        <is>
          <t>猫</t>
        </is>
      </c>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f>ROW()-1</f>
        <v/>
      </c>
      <c r="B92" s="9">
        <f>"P"&amp;TEXT(A92,"000")</f>
        <v/>
      </c>
      <c r="C92" s="9" t="n">
        <v>0</v>
      </c>
      <c r="D92" s="9" t="n">
        <v>6</v>
      </c>
      <c r="E92" s="9" t="n">
        <v>6</v>
      </c>
      <c r="F92" s="9">
        <f t="array" ref="F92">_xlfn.XLOOKUP(D92,phase!$A$2:$A$9,phase!$C$2:$C$9)</f>
        <v/>
      </c>
      <c r="G92" s="9">
        <f t="array" ref="G92">IF(F92="N",_xlfn.XLOOKUP(E92,phase!$A$2:$A$9,phase!$C$2:$C$9),F92)</f>
        <v/>
      </c>
      <c r="H92" s="9" t="n">
        <v>5</v>
      </c>
      <c r="I92" s="9" t="n">
        <v>3</v>
      </c>
      <c r="J92" s="9" t="n">
        <v>2</v>
      </c>
      <c r="K92" s="9" t="n">
        <v>1</v>
      </c>
      <c r="L92" s="9" t="inlineStr">
        <is>
          <t>起動(地域移動)</t>
        </is>
      </c>
      <c r="M92" s="16" t="inlineStr">
        <is>
          <t>この衛星が地域間を移動したとき、この衛星は1区域追加で循環してもよい。そうした場合、移動した先の区域でニアミス判定は行われる</t>
        </is>
      </c>
      <c r="N92" s="9" t="inlineStr">
        <is>
          <t>カスケードブースト</t>
        </is>
      </c>
      <c r="O92" s="9" t="n">
        <v>93</v>
      </c>
      <c r="P92" s="9">
        <f>"P"&amp;TEXT(O92,"000")&amp;".png"</f>
        <v/>
      </c>
      <c r="Q92" s="9">
        <f>fix!$B$2 &amp; "/" &amp; P92</f>
        <v/>
      </c>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f>ROW()-1</f>
        <v/>
      </c>
      <c r="B93" s="12">
        <f>"P"&amp;TEXT(A93,"000")</f>
        <v/>
      </c>
      <c r="C93" s="12" t="n">
        <v>0</v>
      </c>
      <c r="D93" s="12" t="n">
        <v>6</v>
      </c>
      <c r="E93" s="12" t="n">
        <v>6</v>
      </c>
      <c r="F93" s="12">
        <f t="array" ref="F93">_xlfn.XLOOKUP(D93,phase!$A$2:$A$9,phase!$C$2:$C$9)</f>
        <v/>
      </c>
      <c r="G93" s="12">
        <f t="array" ref="G93">IF(F93="N",_xlfn.XLOOKUP(E93,phase!$A$2:$A$9,phase!$C$2:$C$9),F93)</f>
        <v/>
      </c>
      <c r="H93" s="12" t="n">
        <v>6</v>
      </c>
      <c r="I93" s="12" t="n">
        <v>2</v>
      </c>
      <c r="J93" s="12" t="n">
        <v>2</v>
      </c>
      <c r="K93" s="12" t="n">
        <v>1</v>
      </c>
      <c r="L93" s="12" t="inlineStr">
        <is>
          <t>起動(着陸)</t>
        </is>
      </c>
      <c r="M93" s="15" t="inlineStr">
        <is>
          <t>自分の衛星が海区域に着水したとき、+10[マネー]</t>
        </is>
      </c>
      <c r="N93" s="12" t="inlineStr">
        <is>
          <t>スプラッシュダウン</t>
        </is>
      </c>
      <c r="O93" s="12" t="n">
        <v>85</v>
      </c>
      <c r="P93" s="12">
        <f>"P"&amp;TEXT(O93,"000")&amp;".png"</f>
        <v/>
      </c>
      <c r="Q93" s="12">
        <f>fix!$B$2 &amp; "/" &amp; P93</f>
        <v/>
      </c>
      <c r="R93" s="12" t="n"/>
      <c r="S93" s="12" t="inlineStr">
        <is>
          <t>ドルフィンシールド</t>
        </is>
      </c>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f>ROW()-1</f>
        <v/>
      </c>
      <c r="B94" s="9">
        <f>"P"&amp;TEXT(A94,"000")</f>
        <v/>
      </c>
      <c r="C94" s="9" t="n">
        <v>0</v>
      </c>
      <c r="D94" s="9" t="n">
        <v>6</v>
      </c>
      <c r="E94" s="9" t="n">
        <v>6</v>
      </c>
      <c r="F94" s="9">
        <f t="array" ref="F94">_xlfn.XLOOKUP(D94,phase!$A$2:$A$9,phase!$C$2:$C$9)</f>
        <v/>
      </c>
      <c r="G94" s="9">
        <f t="array" ref="G94">IF(F94="N",_xlfn.XLOOKUP(E94,phase!$A$2:$A$9,phase!$C$2:$C$9),F94)</f>
        <v/>
      </c>
      <c r="H94" s="9" t="n">
        <v>6</v>
      </c>
      <c r="I94" s="9" t="n">
        <v>2</v>
      </c>
      <c r="J94" s="9" t="n">
        <v>2</v>
      </c>
      <c r="K94" s="9" t="n">
        <v>1</v>
      </c>
      <c r="L94" s="9" t="inlineStr">
        <is>
          <t>起動(通信確立上空)</t>
        </is>
      </c>
      <c r="M94" s="16" t="inlineStr">
        <is>
          <t>この衛星が自分の通信確立済み区域の上空に突入したとき、+2[マネー]</t>
        </is>
      </c>
      <c r="N94" s="9" t="inlineStr">
        <is>
          <t>オービタル72</t>
        </is>
      </c>
      <c r="O94" s="9" t="n">
        <v>92</v>
      </c>
      <c r="P94" s="9">
        <f>"P"&amp;TEXT(O94,"000")&amp;".png"</f>
        <v/>
      </c>
      <c r="Q94" s="9">
        <f>fix!$B$2 &amp; "/" &amp; P94</f>
        <v/>
      </c>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f>ROW()-1</f>
        <v/>
      </c>
      <c r="B95" s="12">
        <f>"P"&amp;TEXT(A95,"000")</f>
        <v/>
      </c>
      <c r="C95" s="12" t="n">
        <v>0</v>
      </c>
      <c r="D95" s="12" t="n">
        <v>6</v>
      </c>
      <c r="E95" s="12" t="n">
        <v>6</v>
      </c>
      <c r="F95" s="12">
        <f t="array" ref="F95">_xlfn.XLOOKUP(D95,phase!$A$2:$A$9,phase!$C$2:$C$9)</f>
        <v/>
      </c>
      <c r="G95" s="12">
        <f t="array" ref="G95">IF(F95="N",_xlfn.XLOOKUP(E95,phase!$A$2:$A$9,phase!$C$2:$C$9),F95)</f>
        <v/>
      </c>
      <c r="H95" s="12" t="n">
        <v>6</v>
      </c>
      <c r="I95" s="12" t="n">
        <v>2</v>
      </c>
      <c r="J95" s="12" t="n">
        <v>2</v>
      </c>
      <c r="K95" s="12" t="n">
        <v>1</v>
      </c>
      <c r="L95" s="12" t="inlineStr">
        <is>
          <t>常時</t>
        </is>
      </c>
      <c r="M95" s="15" t="inlineStr">
        <is>
          <t>この衛星に[Crew],[Device],[Software]が配備されているならば、この衛星はニアミスしない。その区域にある他の衛星が1機以下であれば、その衛星もニアミスしたとみなされない。</t>
        </is>
      </c>
      <c r="N95" s="12" t="inlineStr">
        <is>
          <t>デコンフリクト</t>
        </is>
      </c>
      <c r="O95" s="12" t="n">
        <v>94</v>
      </c>
      <c r="P95" s="12">
        <f>"P"&amp;TEXT(O95,"000")&amp;".png"</f>
        <v/>
      </c>
      <c r="Q95" s="12">
        <f>fix!$B$2 &amp; "/" &amp; P95</f>
        <v/>
      </c>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f>ROW()-1</f>
        <v/>
      </c>
      <c r="B96" s="9">
        <f>"P"&amp;TEXT(A96,"000")</f>
        <v/>
      </c>
      <c r="C96" s="9" t="n">
        <v>0</v>
      </c>
      <c r="D96" s="9" t="n">
        <v>6</v>
      </c>
      <c r="E96" s="9" t="n">
        <v>6</v>
      </c>
      <c r="F96" s="9">
        <f t="array" ref="F96">_xlfn.XLOOKUP(D96,phase!$A$2:$A$9,phase!$C$2:$C$9)</f>
        <v/>
      </c>
      <c r="G96" s="9">
        <f t="array" ref="G96">IF(F96="N",_xlfn.XLOOKUP(E96,phase!$A$2:$A$9,phase!$C$2:$C$9),F96)</f>
        <v/>
      </c>
      <c r="H96" s="9" t="n">
        <v>7</v>
      </c>
      <c r="I96" s="9" t="n">
        <v>2</v>
      </c>
      <c r="J96" s="9" t="n">
        <v>2</v>
      </c>
      <c r="K96" s="9" t="n">
        <v>1</v>
      </c>
      <c r="L96" s="9" t="inlineStr">
        <is>
          <t>起動(通信確立上空)</t>
        </is>
      </c>
      <c r="M96" s="16" t="inlineStr">
        <is>
          <t>この衛星が自分の通信確立済み区域の上空に突入したとき、転回してもよい</t>
        </is>
      </c>
      <c r="N96" s="9" t="inlineStr">
        <is>
          <t>フリップマニューバ</t>
        </is>
      </c>
      <c r="O96" s="9" t="n">
        <v>95</v>
      </c>
      <c r="P96" s="9">
        <f>"P"&amp;TEXT(O96,"000")&amp;".png"</f>
        <v/>
      </c>
      <c r="Q96" s="9">
        <f>fix!$B$2 &amp; "/" &amp; P96</f>
        <v/>
      </c>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f>ROW()-1</f>
        <v/>
      </c>
      <c r="B97" s="12">
        <f>"P"&amp;TEXT(A97,"000")</f>
        <v/>
      </c>
      <c r="C97" s="12" t="n">
        <v>0</v>
      </c>
      <c r="D97" s="12" t="n">
        <v>6</v>
      </c>
      <c r="E97" s="12" t="n">
        <v>6</v>
      </c>
      <c r="F97" s="12">
        <f t="array" ref="F97">_xlfn.XLOOKUP(D97,phase!$A$2:$A$9,phase!$C$2:$C$9)</f>
        <v/>
      </c>
      <c r="G97" s="12">
        <f t="array" ref="G97">IF(F97="N",_xlfn.XLOOKUP(E97,phase!$A$2:$A$9,phase!$C$2:$C$9),F97)</f>
        <v/>
      </c>
      <c r="H97" s="12" t="n">
        <v>7</v>
      </c>
      <c r="I97" s="12" t="n">
        <v>3</v>
      </c>
      <c r="J97" s="12" t="n">
        <v>2</v>
      </c>
      <c r="K97" s="12" t="n">
        <v>1</v>
      </c>
      <c r="L97" s="12" t="inlineStr">
        <is>
          <t>起動(特定地域上空)</t>
        </is>
      </c>
      <c r="M97" s="15" t="inlineStr">
        <is>
          <t>この衛星が別地域から地域A,C,Fの上空に突入したとき、特殊通信確立コストを支払ってもよい。そうした場合、この衛星は通信確立する。</t>
        </is>
      </c>
      <c r="N97" s="12" t="inlineStr">
        <is>
          <t>アルファリンク</t>
        </is>
      </c>
      <c r="O97" s="12" t="n">
        <v>96</v>
      </c>
      <c r="P97" s="12">
        <f>"P"&amp;TEXT(O97,"000")&amp;".png"</f>
        <v/>
      </c>
      <c r="Q97" s="12">
        <f>fix!$B$2 &amp; "/" &amp; P97</f>
        <v/>
      </c>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f>ROW()-1</f>
        <v/>
      </c>
      <c r="B98" s="9">
        <f>"P"&amp;TEXT(A98,"000")</f>
        <v/>
      </c>
      <c r="C98" s="9" t="n">
        <v>0</v>
      </c>
      <c r="D98" s="9" t="n">
        <v>6</v>
      </c>
      <c r="E98" s="9" t="n">
        <v>6</v>
      </c>
      <c r="F98" s="9">
        <f t="array" ref="F98">_xlfn.XLOOKUP(D98,phase!$A$2:$A$9,phase!$C$2:$C$9)</f>
        <v/>
      </c>
      <c r="G98" s="9">
        <f t="array" ref="G98">IF(F98="N",_xlfn.XLOOKUP(E98,phase!$A$2:$A$9,phase!$C$2:$C$9),F98)</f>
        <v/>
      </c>
      <c r="H98" s="9" t="n">
        <v>7</v>
      </c>
      <c r="I98" s="9" t="n">
        <v>3</v>
      </c>
      <c r="J98" s="9" t="n">
        <v>2</v>
      </c>
      <c r="K98" s="9" t="n">
        <v>1</v>
      </c>
      <c r="L98" s="9" t="inlineStr">
        <is>
          <t>起動(特定地域上空)</t>
        </is>
      </c>
      <c r="M98" s="16" t="inlineStr">
        <is>
          <t>この衛星が別地域から地域B,D,Gの上空に突入したとき、特殊通信確立コストを支払ってもよい。そうした場合、この衛星は通信確立する。</t>
        </is>
      </c>
      <c r="N98" s="9" t="inlineStr">
        <is>
          <t>ベータリンク</t>
        </is>
      </c>
      <c r="O98" s="9" t="n">
        <v>97</v>
      </c>
      <c r="P98" s="9">
        <f>"P"&amp;TEXT(O98,"000")&amp;".png"</f>
        <v/>
      </c>
      <c r="Q98" s="9">
        <f>fix!$B$2 &amp; "/" &amp; P98</f>
        <v/>
      </c>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f>ROW()-1</f>
        <v/>
      </c>
      <c r="B99" s="12">
        <f>"P"&amp;TEXT(A99,"000")</f>
        <v/>
      </c>
      <c r="C99" s="12" t="n">
        <v>0</v>
      </c>
      <c r="D99" s="12" t="n">
        <v>6</v>
      </c>
      <c r="E99" s="12" t="n">
        <v>6</v>
      </c>
      <c r="F99" s="12">
        <f t="array" ref="F99">_xlfn.XLOOKUP(D99,phase!$A$2:$A$9,phase!$C$2:$C$9)</f>
        <v/>
      </c>
      <c r="G99" s="12">
        <f t="array" ref="G99">IF(F99="N",_xlfn.XLOOKUP(E99,phase!$A$2:$A$9,phase!$C$2:$C$9),F99)</f>
        <v/>
      </c>
      <c r="H99" s="12" t="n">
        <v>8</v>
      </c>
      <c r="I99" s="12" t="n">
        <v>2</v>
      </c>
      <c r="J99" s="12" t="n">
        <v>2</v>
      </c>
      <c r="K99" s="12" t="n">
        <v>1</v>
      </c>
      <c r="L99" s="12" t="inlineStr">
        <is>
          <t>起動(通信確立上空)</t>
        </is>
      </c>
      <c r="M99" s="15" t="inlineStr">
        <is>
          <t>この衛星が自分の通信確立済み区域の上空に突入したとき、特殊通信確立コストを支払ってもよい。そうした場合、この衛星の進行方向後方の区域を通信確立する</t>
        </is>
      </c>
      <c r="N99" s="12" t="inlineStr">
        <is>
          <t>バックリンク</t>
        </is>
      </c>
      <c r="O99" s="12" t="n">
        <v>98</v>
      </c>
      <c r="P99" s="12">
        <f>"P"&amp;TEXT(O99,"000")&amp;".png"</f>
        <v/>
      </c>
      <c r="Q99" s="12">
        <f>fix!$B$2 &amp; "/" &amp; P99</f>
        <v/>
      </c>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f>ROW()-1</f>
        <v/>
      </c>
      <c r="B100" s="9">
        <f>"P"&amp;TEXT(A100,"000")</f>
        <v/>
      </c>
      <c r="C100" s="9" t="n">
        <v>0</v>
      </c>
      <c r="D100" s="9" t="n">
        <v>6</v>
      </c>
      <c r="E100" s="9" t="n">
        <v>6</v>
      </c>
      <c r="F100" s="9">
        <f t="array" ref="F100">_xlfn.XLOOKUP(D100,phase!$A$2:$A$9,phase!$C$2:$C$9)</f>
        <v/>
      </c>
      <c r="G100" s="9">
        <f t="array" ref="G100">IF(F100="N",_xlfn.XLOOKUP(E100,phase!$A$2:$A$9,phase!$C$2:$C$9),F100)</f>
        <v/>
      </c>
      <c r="H100" s="9" t="n">
        <v>11</v>
      </c>
      <c r="I100" s="9" t="n">
        <v>2</v>
      </c>
      <c r="J100" s="9" t="n">
        <v>2</v>
      </c>
      <c r="K100" s="9" t="n">
        <v>1</v>
      </c>
      <c r="L100" s="9" t="inlineStr">
        <is>
          <t>起動(地域移動)</t>
        </is>
      </c>
      <c r="M100" s="16" t="inlineStr">
        <is>
          <t>この衛星が地域間を移動したとき、特殊通信確立コスト支払って通信確立してもよい</t>
        </is>
      </c>
      <c r="N100" s="9" t="inlineStr">
        <is>
          <t>フライバイリンク</t>
        </is>
      </c>
      <c r="O100" s="9" t="n">
        <v>99</v>
      </c>
      <c r="P100" s="9">
        <f>"P"&amp;TEXT(O100,"000")&amp;".png"</f>
        <v/>
      </c>
      <c r="Q100" s="9">
        <f>fix!$B$2 &amp; "/" &amp; P100</f>
        <v/>
      </c>
      <c r="R100" s="9" t="n"/>
      <c r="S100" s="9" t="inlineStr">
        <is>
          <t>渡り鳥</t>
        </is>
      </c>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f>ROW()-1</f>
        <v/>
      </c>
      <c r="B101" s="12">
        <f>"P"&amp;TEXT(A101,"000")</f>
        <v/>
      </c>
      <c r="C101" s="12" t="n">
        <v>1</v>
      </c>
      <c r="D101" s="12" t="n">
        <v>3</v>
      </c>
      <c r="E101" s="12" t="n">
        <v>3</v>
      </c>
      <c r="F101" s="12">
        <f t="array" ref="F101">_xlfn.XLOOKUP(D101,phase!$A$2:$A$9,phase!$C$2:$C$9)</f>
        <v/>
      </c>
      <c r="G101" s="12">
        <f t="array" ref="G101">IF(F101="N",_xlfn.XLOOKUP(E101,phase!$A$2:$A$9,phase!$C$2:$C$9),F101)</f>
        <v/>
      </c>
      <c r="H101" s="12" t="n">
        <v>6</v>
      </c>
      <c r="I101" s="12" t="n">
        <v>3</v>
      </c>
      <c r="J101" s="12" t="n">
        <v>2</v>
      </c>
      <c r="K101" s="12" t="n">
        <v>1</v>
      </c>
      <c r="L101" s="12" t="inlineStr">
        <is>
          <t>起動(打上)</t>
        </is>
      </c>
      <c r="M101" s="15" t="inlineStr">
        <is>
          <t>自分の他の衛星を東３方向のいずれかに打ち上げたとき、特殊通信確立コスト支払ってこの衛星は通信確立してもよい</t>
        </is>
      </c>
      <c r="N101" s="12" t="n"/>
      <c r="O101" s="12" t="n"/>
      <c r="P101" s="12" t="n"/>
      <c r="Q101" s="12">
        <f>fix!$B$2 &amp; "/" &amp; P101</f>
        <v/>
      </c>
      <c r="R101" s="12" t="n"/>
      <c r="S101" s="12" t="inlineStr">
        <is>
          <t>情熱のソナー</t>
        </is>
      </c>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f>ROW()-1</f>
        <v/>
      </c>
      <c r="B102" s="9">
        <f>"P"&amp;TEXT(A102,"000")</f>
        <v/>
      </c>
      <c r="C102" s="9" t="n">
        <v>1</v>
      </c>
      <c r="D102" s="9" t="n">
        <v>3</v>
      </c>
      <c r="E102" s="9" t="n">
        <v>3</v>
      </c>
      <c r="F102" s="9">
        <f t="array" ref="F102">_xlfn.XLOOKUP(D102,phase!$A$2:$A$9,phase!$C$2:$C$9)</f>
        <v/>
      </c>
      <c r="G102" s="9">
        <f t="array" ref="G102">IF(F102="N",_xlfn.XLOOKUP(E102,phase!$A$2:$A$9,phase!$C$2:$C$9),F102)</f>
        <v/>
      </c>
      <c r="H102" s="9" t="n">
        <v>6</v>
      </c>
      <c r="I102" s="9" t="n">
        <v>3</v>
      </c>
      <c r="J102" s="9" t="n">
        <v>2</v>
      </c>
      <c r="K102" s="9" t="n">
        <v>1</v>
      </c>
      <c r="L102" s="9" t="inlineStr">
        <is>
          <t>起動(打上)</t>
        </is>
      </c>
      <c r="M102" s="16" t="inlineStr">
        <is>
          <t>自分の他の衛星を西３方向のいずれかに打ち上げたとき、特殊通信確立コスト支払ってこの衛星は通信確立してもよい</t>
        </is>
      </c>
      <c r="N102" s="9" t="n"/>
      <c r="O102" s="9" t="n"/>
      <c r="P102" s="9" t="n"/>
      <c r="Q102" s="9">
        <f>fix!$B$2 &amp; "/" &amp; P102</f>
        <v/>
      </c>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f>ROW()-1</f>
        <v/>
      </c>
      <c r="B103" s="12">
        <f>"P"&amp;TEXT(A103,"000")</f>
        <v/>
      </c>
      <c r="C103" s="12" t="n">
        <v>1</v>
      </c>
      <c r="D103" s="12" t="n">
        <v>7</v>
      </c>
      <c r="E103" s="12" t="n">
        <v>3</v>
      </c>
      <c r="F103" s="12">
        <f t="array" ref="F103">_xlfn.XLOOKUP(D103,phase!$A$2:$A$9,phase!$C$2:$C$9)</f>
        <v/>
      </c>
      <c r="G103" s="12">
        <f t="array" ref="G103">IF(F103="N",_xlfn.XLOOKUP(E103,phase!$A$2:$A$9,phase!$C$2:$C$9),F103)</f>
        <v/>
      </c>
      <c r="H103" s="12" t="n">
        <v>5</v>
      </c>
      <c r="I103" s="12" t="n">
        <v>4</v>
      </c>
      <c r="J103" s="12" t="n">
        <v>2</v>
      </c>
      <c r="K103" s="12" t="n">
        <v>1</v>
      </c>
      <c r="L103" s="12" t="inlineStr">
        <is>
          <t>起動(転回)</t>
        </is>
      </c>
      <c r="M103" s="15" t="inlineStr">
        <is>
          <t>この衛星が転回したとき、[Crew]を持つカードを1枚選び、配備コストを支払ってこの衛星に配備してもよい。</t>
        </is>
      </c>
      <c r="N103" s="12" t="n"/>
      <c r="O103" s="12" t="n"/>
      <c r="P103" s="12" t="n"/>
      <c r="Q103" s="12">
        <f>fix!$B$2 &amp; "/" &amp; P103</f>
        <v/>
      </c>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f>ROW()-1</f>
        <v/>
      </c>
      <c r="B104" s="9">
        <f>"P"&amp;TEXT(A104,"000")</f>
        <v/>
      </c>
      <c r="C104" s="9" t="n">
        <v>1</v>
      </c>
      <c r="D104" s="9" t="n">
        <v>7</v>
      </c>
      <c r="E104" s="9" t="n">
        <v>3</v>
      </c>
      <c r="F104" s="9">
        <f t="array" ref="F104">_xlfn.XLOOKUP(D104,phase!$A$2:$A$9,phase!$C$2:$C$9)</f>
        <v/>
      </c>
      <c r="G104" s="9">
        <f t="array" ref="G104">IF(F104="N",_xlfn.XLOOKUP(E104,phase!$A$2:$A$9,phase!$C$2:$C$9),F104)</f>
        <v/>
      </c>
      <c r="H104" s="9" t="n">
        <v>5</v>
      </c>
      <c r="I104" s="9" t="n">
        <v>4</v>
      </c>
      <c r="J104" s="9" t="n">
        <v>2</v>
      </c>
      <c r="K104" s="9" t="n"/>
      <c r="L104" s="9" t="inlineStr">
        <is>
          <t>常時</t>
        </is>
      </c>
      <c r="M104" s="16" t="inlineStr">
        <is>
          <t>転回アクションやカード効果によるこの衛星の転回のコストは-3</t>
        </is>
      </c>
      <c r="N104" s="9" t="n"/>
      <c r="O104" s="9" t="n"/>
      <c r="P104" s="9" t="n"/>
      <c r="Q104" s="9">
        <f>fix!$B$2 &amp; "/" &amp; P104</f>
        <v/>
      </c>
      <c r="R104" s="9" t="n"/>
      <c r="S104" s="9" t="inlineStr">
        <is>
          <t>自律制御装置</t>
        </is>
      </c>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f>ROW()-1</f>
        <v/>
      </c>
      <c r="B105" s="12">
        <f>"P"&amp;TEXT(A105,"000")</f>
        <v/>
      </c>
      <c r="C105" s="12" t="n">
        <v>1</v>
      </c>
      <c r="D105" s="12" t="n">
        <v>7</v>
      </c>
      <c r="E105" s="12" t="n">
        <v>3</v>
      </c>
      <c r="F105" s="12">
        <f t="array" ref="F105">_xlfn.XLOOKUP(D105,phase!$A$2:$A$9,phase!$C$2:$C$9)</f>
        <v/>
      </c>
      <c r="G105" s="12">
        <f t="array" ref="G105">IF(F105="N",_xlfn.XLOOKUP(E105,phase!$A$2:$A$9,phase!$C$2:$C$9),F105)</f>
        <v/>
      </c>
      <c r="H105" s="12" t="n">
        <v>6</v>
      </c>
      <c r="I105" s="12" t="n">
        <v>2</v>
      </c>
      <c r="J105" s="12" t="n">
        <v>2</v>
      </c>
      <c r="K105" s="12" t="n">
        <v>1</v>
      </c>
      <c r="L105" s="12" t="inlineStr">
        <is>
          <t>常時</t>
        </is>
      </c>
      <c r="M105" s="15" t="inlineStr">
        <is>
          <t>この衛星の特殊通信確立のコストは-2される</t>
        </is>
      </c>
      <c r="N105" s="12" t="n"/>
      <c r="O105" s="12" t="n"/>
      <c r="P105" s="12" t="n"/>
      <c r="Q105" s="12">
        <f>fix!$B$2 &amp; "/" &amp; P105</f>
        <v/>
      </c>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f>ROW()-1</f>
        <v/>
      </c>
      <c r="B106" s="9">
        <f>"P"&amp;TEXT(A106,"000")</f>
        <v/>
      </c>
      <c r="C106" s="9" t="n">
        <v>1</v>
      </c>
      <c r="D106" s="9" t="n">
        <v>4</v>
      </c>
      <c r="E106" s="9" t="n">
        <v>4</v>
      </c>
      <c r="F106" s="9">
        <f t="array" ref="F106">_xlfn.XLOOKUP(D106,phase!$A$2:$A$9,phase!$C$2:$C$9)</f>
        <v/>
      </c>
      <c r="G106" s="9">
        <f t="array" ref="G106">IF(F106="N",_xlfn.XLOOKUP(E106,phase!$A$2:$A$9,phase!$C$2:$C$9),F106)</f>
        <v/>
      </c>
      <c r="H106" s="9" t="n">
        <v>5</v>
      </c>
      <c r="I106" s="9" t="n">
        <v>2</v>
      </c>
      <c r="J106" s="9" t="n">
        <v>2</v>
      </c>
      <c r="K106" s="9" t="n">
        <v>1</v>
      </c>
      <c r="L106" s="9" t="inlineStr">
        <is>
          <t>起動(通信確立)</t>
        </is>
      </c>
      <c r="M106" s="16" t="inlineStr">
        <is>
          <t>この衛星が通信確立したとき、手札から[Device]のカードを1枚選び、配備コストを支払ってこの衛星に配備してもよい</t>
        </is>
      </c>
      <c r="N106" s="9" t="n"/>
      <c r="O106" s="9" t="n"/>
      <c r="P106" s="9" t="n"/>
      <c r="Q106" s="9">
        <f>fix!$B$2 &amp; "/" &amp; P106</f>
        <v/>
      </c>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f>ROW()-1</f>
        <v/>
      </c>
      <c r="B107" s="12">
        <f>"P"&amp;TEXT(A107,"000")</f>
        <v/>
      </c>
      <c r="C107" s="12" t="n">
        <v>1</v>
      </c>
      <c r="D107" s="12" t="n">
        <v>4</v>
      </c>
      <c r="E107" s="12" t="n">
        <v>4</v>
      </c>
      <c r="F107" s="12">
        <f t="array" ref="F107">_xlfn.XLOOKUP(D107,phase!$A$2:$A$9,phase!$C$2:$C$9)</f>
        <v/>
      </c>
      <c r="G107" s="12">
        <f t="array" ref="G107">IF(F107="N",_xlfn.XLOOKUP(E107,phase!$A$2:$A$9,phase!$C$2:$C$9),F107)</f>
        <v/>
      </c>
      <c r="H107" s="12" t="n">
        <v>6</v>
      </c>
      <c r="I107" s="12" t="n">
        <v>3</v>
      </c>
      <c r="J107" s="12" t="n">
        <v>1</v>
      </c>
      <c r="K107" s="12" t="n">
        <v>1</v>
      </c>
      <c r="L107" s="12" t="inlineStr">
        <is>
          <t>起動(通信確立)</t>
        </is>
      </c>
      <c r="M107" s="15" t="inlineStr">
        <is>
          <t>この衛星が通信確立したとき、追加で特殊通信確立コストを支払ってもよい。そうした場合、隣接する海区域のうち1箇所を通信確立する</t>
        </is>
      </c>
      <c r="N107" s="12" t="n"/>
      <c r="O107" s="12" t="n"/>
      <c r="P107" s="12" t="n"/>
      <c r="Q107" s="12">
        <f>fix!$B$2 &amp; "/" &amp; P107</f>
        <v/>
      </c>
      <c r="R107" s="12" t="n"/>
      <c r="S107" s="12" t="inlineStr">
        <is>
          <t>バテン・カイトス</t>
        </is>
      </c>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f>ROW()-1</f>
        <v/>
      </c>
      <c r="B108" s="9">
        <f>"P"&amp;TEXT(A108,"000")</f>
        <v/>
      </c>
      <c r="C108" s="9" t="n">
        <v>1</v>
      </c>
      <c r="D108" s="9" t="n">
        <v>7</v>
      </c>
      <c r="E108" s="9" t="n">
        <v>4</v>
      </c>
      <c r="F108" s="9">
        <f t="array" ref="F108">_xlfn.XLOOKUP(D108,phase!$A$2:$A$9,phase!$C$2:$C$9)</f>
        <v/>
      </c>
      <c r="G108" s="9">
        <f t="array" ref="G108">IF(F108="N",_xlfn.XLOOKUP(E108,phase!$A$2:$A$9,phase!$C$2:$C$9),F108)</f>
        <v/>
      </c>
      <c r="H108" s="9" t="n">
        <v>5</v>
      </c>
      <c r="I108" s="9" t="n">
        <v>3</v>
      </c>
      <c r="J108" s="9" t="n">
        <v>2</v>
      </c>
      <c r="K108" s="9" t="n"/>
      <c r="L108" s="9" t="inlineStr">
        <is>
          <t>常時</t>
        </is>
      </c>
      <c r="M108" s="16" t="inlineStr">
        <is>
          <t>この衛星が[陸区域]の上空にいるとき、通信確立のコストは-1される</t>
        </is>
      </c>
      <c r="N108" s="9" t="n"/>
      <c r="O108" s="9" t="n"/>
      <c r="P108" s="9" t="n"/>
      <c r="Q108" s="9">
        <f>fix!$B$2 &amp; "/" &amp; P108</f>
        <v/>
      </c>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f>ROW()-1</f>
        <v/>
      </c>
      <c r="B109" s="12">
        <f>"P"&amp;TEXT(A109,"000")</f>
        <v/>
      </c>
      <c r="C109" s="12" t="n">
        <v>1</v>
      </c>
      <c r="D109" s="12" t="n">
        <v>5</v>
      </c>
      <c r="E109" s="12" t="n">
        <v>5</v>
      </c>
      <c r="F109" s="12">
        <f t="array" ref="F109">_xlfn.XLOOKUP(D109,phase!$A$2:$A$9,phase!$C$2:$C$9)</f>
        <v/>
      </c>
      <c r="G109" s="12">
        <f t="array" ref="G109">IF(F109="N",_xlfn.XLOOKUP(E109,phase!$A$2:$A$9,phase!$C$2:$C$9),F109)</f>
        <v/>
      </c>
      <c r="H109" s="12" t="n">
        <v>7</v>
      </c>
      <c r="I109" s="12" t="n">
        <v>3</v>
      </c>
      <c r="J109" s="12" t="n">
        <v>2</v>
      </c>
      <c r="K109" s="12" t="n">
        <v>1</v>
      </c>
      <c r="L109" s="12" t="inlineStr">
        <is>
          <t>稼働中</t>
        </is>
      </c>
      <c r="M109" s="15" t="inlineStr">
        <is>
          <t>企画フェイズでカードを引く際、山札の代わりに捨札の上からカードを引いてもよい（このフェイズ開始前の捨札の状態を参照する）</t>
        </is>
      </c>
      <c r="N109" s="12" t="n"/>
      <c r="O109" s="12" t="n"/>
      <c r="P109" s="12" t="n"/>
      <c r="Q109" s="12">
        <f>fix!$B$2 &amp; "/" &amp; P109</f>
        <v/>
      </c>
      <c r="R109" s="12" t="n"/>
      <c r="S109" s="12" t="inlineStr">
        <is>
          <t>再評価のイノベーター</t>
        </is>
      </c>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f>ROW()-1</f>
        <v/>
      </c>
      <c r="B110" s="9">
        <f>"P"&amp;TEXT(A110,"000")</f>
        <v/>
      </c>
      <c r="C110" s="9" t="n">
        <v>1</v>
      </c>
      <c r="D110" s="9" t="n">
        <v>6</v>
      </c>
      <c r="E110" s="9" t="n">
        <v>6</v>
      </c>
      <c r="F110" s="9">
        <f t="array" ref="F110">_xlfn.XLOOKUP(D110,phase!$A$2:$A$9,phase!$C$2:$C$9)</f>
        <v/>
      </c>
      <c r="G110" s="9">
        <f t="array" ref="G110">IF(F110="N",_xlfn.XLOOKUP(E110,phase!$A$2:$A$9,phase!$C$2:$C$9),F110)</f>
        <v/>
      </c>
      <c r="H110" s="9" t="n">
        <v>4</v>
      </c>
      <c r="I110" s="9" t="n">
        <v>2</v>
      </c>
      <c r="J110" s="9" t="n">
        <v>2</v>
      </c>
      <c r="K110" s="9" t="n">
        <v>1</v>
      </c>
      <c r="L110" s="9" t="inlineStr">
        <is>
          <t>起動(循環)</t>
        </is>
      </c>
      <c r="M110" s="16" t="inlineStr">
        <is>
          <t>循環フェイズで、この衛星は循環しなくてもよい。そうした場合、燃料は消費せず、その区域でニアミス判定は行われる。</t>
        </is>
      </c>
      <c r="N110" s="9" t="n"/>
      <c r="O110" s="9" t="n"/>
      <c r="P110" s="9" t="n"/>
      <c r="Q110" s="9">
        <f>fix!$B$2 &amp; "/" &amp; P110</f>
        <v/>
      </c>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f>ROW()-1</f>
        <v/>
      </c>
      <c r="B111" s="12">
        <f>"P"&amp;TEXT(A111,"000")</f>
        <v/>
      </c>
      <c r="C111" s="12" t="n">
        <v>1</v>
      </c>
      <c r="D111" s="12" t="n">
        <v>6</v>
      </c>
      <c r="E111" s="12" t="n">
        <v>6</v>
      </c>
      <c r="F111" s="12">
        <f t="array" ref="F111">_xlfn.XLOOKUP(D111,phase!$A$2:$A$9,phase!$C$2:$C$9)</f>
        <v/>
      </c>
      <c r="G111" s="12">
        <f t="array" ref="G111">IF(F111="N",_xlfn.XLOOKUP(E111,phase!$A$2:$A$9,phase!$C$2:$C$9),F111)</f>
        <v/>
      </c>
      <c r="H111" s="12" t="n">
        <v>5</v>
      </c>
      <c r="I111" s="12" t="n">
        <v>2</v>
      </c>
      <c r="J111" s="12" t="n">
        <v>2</v>
      </c>
      <c r="K111" s="12" t="n">
        <v>1</v>
      </c>
      <c r="L111" s="12" t="inlineStr">
        <is>
          <t>起動(海陸移動)</t>
        </is>
      </c>
      <c r="M111" s="15" t="inlineStr">
        <is>
          <t>この衛星が陸海間を移動したとき、この衛星は1区域追加で循環してもよい。そうした場合、移動した先の区域でニアミス判定は行われる</t>
        </is>
      </c>
      <c r="N111" s="12" t="n"/>
      <c r="O111" s="12" t="n"/>
      <c r="P111" s="12" t="n"/>
      <c r="Q111" s="12">
        <f>fix!$B$2 &amp; "/" &amp; P111</f>
        <v/>
      </c>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f>ROW()-1</f>
        <v/>
      </c>
      <c r="B112" s="9">
        <f>"P"&amp;TEXT(A112,"000")</f>
        <v/>
      </c>
      <c r="C112" s="9" t="n">
        <v>1</v>
      </c>
      <c r="D112" s="9" t="n">
        <v>6</v>
      </c>
      <c r="E112" s="9" t="n">
        <v>6</v>
      </c>
      <c r="F112" s="9">
        <f t="array" ref="F112">_xlfn.XLOOKUP(D112,phase!$A$2:$A$9,phase!$C$2:$C$9)</f>
        <v/>
      </c>
      <c r="G112" s="9">
        <f t="array" ref="G112">IF(F112="N",_xlfn.XLOOKUP(E112,phase!$A$2:$A$9,phase!$C$2:$C$9),F112)</f>
        <v/>
      </c>
      <c r="H112" s="9" t="n">
        <v>5</v>
      </c>
      <c r="I112" s="9" t="n">
        <v>4</v>
      </c>
      <c r="J112" s="9" t="n">
        <v>2</v>
      </c>
      <c r="K112" s="9" t="n">
        <v>1</v>
      </c>
      <c r="L112" s="9" t="inlineStr">
        <is>
          <t>起動(北極圏)</t>
        </is>
      </c>
      <c r="M112" s="16" t="inlineStr">
        <is>
          <t>この衛星が北極圏（一番上の区域列）に突入したとき、転回してもよい</t>
        </is>
      </c>
      <c r="N112" s="9" t="n"/>
      <c r="O112" s="9" t="n"/>
      <c r="P112" s="9" t="n"/>
      <c r="Q112" s="9">
        <f>fix!$B$2 &amp; "/" &amp; P112</f>
        <v/>
      </c>
      <c r="R112" s="9" t="n"/>
      <c r="S112" s="9" t="inlineStr">
        <is>
          <t>ポーラーベア</t>
        </is>
      </c>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f>ROW()-1</f>
        <v/>
      </c>
      <c r="B113" s="12">
        <f>"P"&amp;TEXT(A113,"000")</f>
        <v/>
      </c>
      <c r="C113" s="12" t="n">
        <v>1</v>
      </c>
      <c r="D113" s="12" t="n">
        <v>6</v>
      </c>
      <c r="E113" s="12" t="n">
        <v>6</v>
      </c>
      <c r="F113" s="12">
        <f t="array" ref="F113">_xlfn.XLOOKUP(D113,phase!$A$2:$A$9,phase!$C$2:$C$9)</f>
        <v/>
      </c>
      <c r="G113" s="12">
        <f t="array" ref="G113">IF(F113="N",_xlfn.XLOOKUP(E113,phase!$A$2:$A$9,phase!$C$2:$C$9),F113)</f>
        <v/>
      </c>
      <c r="H113" s="12" t="n">
        <v>5</v>
      </c>
      <c r="I113" s="12" t="n">
        <v>4</v>
      </c>
      <c r="J113" s="12" t="n">
        <v>2</v>
      </c>
      <c r="K113" s="12" t="n">
        <v>1</v>
      </c>
      <c r="L113" s="12" t="inlineStr">
        <is>
          <t>起動(南極圏)</t>
        </is>
      </c>
      <c r="M113" s="15" t="inlineStr">
        <is>
          <t>この衛星が南極圏（一番下の区域列）に突入したとき、転回してもよい</t>
        </is>
      </c>
      <c r="N113" s="12" t="n"/>
      <c r="O113" s="12" t="n"/>
      <c r="P113" s="12" t="n"/>
      <c r="Q113" s="12">
        <f>fix!$B$2 &amp; "/" &amp; P113</f>
        <v/>
      </c>
      <c r="R113" s="12" t="n"/>
      <c r="S113" s="12" t="inlineStr">
        <is>
          <t>ペンギン</t>
        </is>
      </c>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f>ROW()-1</f>
        <v/>
      </c>
      <c r="B114" s="9">
        <f>"P"&amp;TEXT(A114,"000")</f>
        <v/>
      </c>
      <c r="C114" s="9" t="n">
        <v>1</v>
      </c>
      <c r="D114" s="9" t="n">
        <v>6</v>
      </c>
      <c r="E114" s="9" t="n">
        <v>6</v>
      </c>
      <c r="F114" s="9">
        <f t="array" ref="F114">_xlfn.XLOOKUP(D114,phase!$A$2:$A$9,phase!$C$2:$C$9)</f>
        <v/>
      </c>
      <c r="G114" s="9">
        <f t="array" ref="G114">IF(F114="N",_xlfn.XLOOKUP(E114,phase!$A$2:$A$9,phase!$C$2:$C$9),F114)</f>
        <v/>
      </c>
      <c r="H114" s="9" t="n">
        <v>6</v>
      </c>
      <c r="I114" s="9" t="n">
        <v>2</v>
      </c>
      <c r="J114" s="9" t="n">
        <v>2</v>
      </c>
      <c r="K114" s="9" t="n">
        <v>1</v>
      </c>
      <c r="L114" s="9" t="inlineStr">
        <is>
          <t>起動(地域移動)</t>
        </is>
      </c>
      <c r="M114" s="16" t="inlineStr">
        <is>
          <t>この衛星が地域間を移動するたび、燃料を1回復する</t>
        </is>
      </c>
      <c r="N114" s="9" t="n"/>
      <c r="O114" s="9" t="n"/>
      <c r="P114" s="9" t="n"/>
      <c r="Q114" s="9">
        <f>fix!$B$2 &amp; "/" &amp; P114</f>
        <v/>
      </c>
      <c r="R114" s="9" t="n"/>
      <c r="S114" s="9" t="inlineStr">
        <is>
          <t>旅がらす</t>
        </is>
      </c>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f>ROW()-1</f>
        <v/>
      </c>
      <c r="B115" s="12">
        <f>"P"&amp;TEXT(A115,"000")</f>
        <v/>
      </c>
      <c r="C115" s="12" t="n">
        <v>1</v>
      </c>
      <c r="D115" s="12" t="n">
        <v>6</v>
      </c>
      <c r="E115" s="12" t="n">
        <v>6</v>
      </c>
      <c r="F115" s="12">
        <f t="array" ref="F115">_xlfn.XLOOKUP(D115,phase!$A$2:$A$9,phase!$C$2:$C$9)</f>
        <v/>
      </c>
      <c r="G115" s="12">
        <f t="array" ref="G115">IF(F115="N",_xlfn.XLOOKUP(E115,phase!$A$2:$A$9,phase!$C$2:$C$9),F115)</f>
        <v/>
      </c>
      <c r="H115" s="12" t="n">
        <v>6</v>
      </c>
      <c r="I115" s="12" t="n">
        <v>4</v>
      </c>
      <c r="J115" s="12" t="n">
        <v>2</v>
      </c>
      <c r="K115" s="12" t="n">
        <v>1</v>
      </c>
      <c r="L115" s="12" t="inlineStr">
        <is>
          <t>起動(北極圏)</t>
        </is>
      </c>
      <c r="M115" s="15" t="inlineStr">
        <is>
          <t>この衛星が北極圏に入るとき、特殊通信確立コスト支払ってもよい。そうした場合、この衛星は通信確立する。</t>
        </is>
      </c>
      <c r="N115" s="12" t="n"/>
      <c r="O115" s="12" t="n"/>
      <c r="P115" s="12" t="n"/>
      <c r="Q115" s="12">
        <f>fix!$B$2 &amp; "/" &amp; P115</f>
        <v/>
      </c>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f>ROW()-1</f>
        <v/>
      </c>
      <c r="B116" s="9">
        <f>"P"&amp;TEXT(A116,"000")</f>
        <v/>
      </c>
      <c r="C116" s="9" t="n">
        <v>1</v>
      </c>
      <c r="D116" s="9" t="n">
        <v>6</v>
      </c>
      <c r="E116" s="9" t="n">
        <v>6</v>
      </c>
      <c r="F116" s="9">
        <f t="array" ref="F116">_xlfn.XLOOKUP(D116,phase!$A$2:$A$9,phase!$C$2:$C$9)</f>
        <v/>
      </c>
      <c r="G116" s="9">
        <f t="array" ref="G116">IF(F116="N",_xlfn.XLOOKUP(E116,phase!$A$2:$A$9,phase!$C$2:$C$9),F116)</f>
        <v/>
      </c>
      <c r="H116" s="9" t="n">
        <v>6</v>
      </c>
      <c r="I116" s="9" t="n">
        <v>4</v>
      </c>
      <c r="J116" s="9" t="n">
        <v>2</v>
      </c>
      <c r="K116" s="9" t="n">
        <v>1</v>
      </c>
      <c r="L116" s="9" t="inlineStr">
        <is>
          <t>起動(南極圏)</t>
        </is>
      </c>
      <c r="M116" s="16" t="inlineStr">
        <is>
          <t>この衛星が南極圏に入るとき、特殊通信確立コスト支払ってもよい。そうした場合、この衛星は通信確立する。</t>
        </is>
      </c>
      <c r="N116" s="9" t="n"/>
      <c r="O116" s="9" t="n"/>
      <c r="P116" s="9" t="n"/>
      <c r="Q116" s="9">
        <f>fix!$B$2 &amp; "/" &amp; P116</f>
        <v/>
      </c>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f>ROW()-1</f>
        <v/>
      </c>
      <c r="B117" s="12">
        <f>"P"&amp;TEXT(A117,"000")</f>
        <v/>
      </c>
      <c r="C117" s="12" t="n">
        <v>1</v>
      </c>
      <c r="D117" s="12" t="n">
        <v>6</v>
      </c>
      <c r="E117" s="12" t="n">
        <v>6</v>
      </c>
      <c r="F117" s="12">
        <f t="array" ref="F117">_xlfn.XLOOKUP(D117,phase!$A$2:$A$9,phase!$C$2:$C$9)</f>
        <v/>
      </c>
      <c r="G117" s="12">
        <f t="array" ref="G117">IF(F117="N",_xlfn.XLOOKUP(E117,phase!$A$2:$A$9,phase!$C$2:$C$9),F117)</f>
        <v/>
      </c>
      <c r="H117" s="12" t="n">
        <v>6</v>
      </c>
      <c r="I117" s="12" t="n">
        <v>4</v>
      </c>
      <c r="J117" s="12" t="n">
        <v>3</v>
      </c>
      <c r="K117" s="12" t="n">
        <v>1</v>
      </c>
      <c r="L117" s="12" t="inlineStr">
        <is>
          <t>起動(海陸移動)</t>
        </is>
      </c>
      <c r="M117" s="15" t="inlineStr">
        <is>
          <t>この衛星が海陸間を移動したとき、転回してもよい</t>
        </is>
      </c>
      <c r="N117" s="12" t="n"/>
      <c r="O117" s="12" t="n"/>
      <c r="P117" s="12" t="n"/>
      <c r="Q117" s="12">
        <f>fix!$B$2 &amp; "/" &amp; P117</f>
        <v/>
      </c>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f>ROW()-1</f>
        <v/>
      </c>
      <c r="B118" s="9">
        <f>"P"&amp;TEXT(A118,"000")</f>
        <v/>
      </c>
      <c r="C118" s="9" t="n">
        <v>1</v>
      </c>
      <c r="D118" s="9" t="n">
        <v>6</v>
      </c>
      <c r="E118" s="9" t="n">
        <v>6</v>
      </c>
      <c r="F118" s="9">
        <f t="array" ref="F118">_xlfn.XLOOKUP(D118,phase!$A$2:$A$9,phase!$C$2:$C$9)</f>
        <v/>
      </c>
      <c r="G118" s="9">
        <f t="array" ref="G118">IF(F118="N",_xlfn.XLOOKUP(E118,phase!$A$2:$A$9,phase!$C$2:$C$9),F118)</f>
        <v/>
      </c>
      <c r="H118" s="9" t="n">
        <v>6</v>
      </c>
      <c r="I118" s="9" t="n">
        <v>4</v>
      </c>
      <c r="J118" s="9" t="n">
        <v>3</v>
      </c>
      <c r="K118" s="9" t="n">
        <v>1</v>
      </c>
      <c r="L118" s="9" t="inlineStr">
        <is>
          <t>起動(海陸移動)</t>
        </is>
      </c>
      <c r="M118" s="16" t="inlineStr">
        <is>
          <t>この衛星が海陸間を移動したとき、手札から[Software]のカードを1枚選び、配備コストを支払ってこの衛星に装備してもよい</t>
        </is>
      </c>
      <c r="N118" s="9" t="n"/>
      <c r="O118" s="9" t="n"/>
      <c r="P118" s="9" t="n"/>
      <c r="Q118" s="9">
        <f>fix!$B$2 &amp; "/" &amp; P118</f>
        <v/>
      </c>
      <c r="R118" s="9" t="n"/>
      <c r="S118" s="9" t="inlineStr">
        <is>
          <t>インスピレーションのエンジニア</t>
        </is>
      </c>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f>ROW()-1</f>
        <v/>
      </c>
      <c r="B119" s="12">
        <f>"P"&amp;TEXT(A119,"000")</f>
        <v/>
      </c>
      <c r="C119" s="12" t="n">
        <v>1</v>
      </c>
      <c r="D119" s="12" t="n">
        <v>6</v>
      </c>
      <c r="E119" s="12" t="n">
        <v>6</v>
      </c>
      <c r="F119" s="12">
        <f t="array" ref="F119">_xlfn.XLOOKUP(D119,phase!$A$2:$A$9,phase!$C$2:$C$9)</f>
        <v/>
      </c>
      <c r="G119" s="12">
        <f t="array" ref="G119">IF(F119="N",_xlfn.XLOOKUP(E119,phase!$A$2:$A$9,phase!$C$2:$C$9),F119)</f>
        <v/>
      </c>
      <c r="H119" s="12" t="n">
        <v>8</v>
      </c>
      <c r="I119" s="12" t="n">
        <v>3</v>
      </c>
      <c r="J119" s="12" t="n">
        <v>2</v>
      </c>
      <c r="K119" s="12" t="n">
        <v>1</v>
      </c>
      <c r="L119" s="12" t="inlineStr">
        <is>
          <t>起動(海陸移動)</t>
        </is>
      </c>
      <c r="M119" s="15" t="inlineStr">
        <is>
          <t>この衛星が海陸間を移動するたび、燃料を1回復する</t>
        </is>
      </c>
      <c r="N119" s="12" t="n"/>
      <c r="O119" s="12" t="n"/>
      <c r="P119" s="12" t="n"/>
      <c r="Q119" s="12">
        <f>fix!$B$2 &amp; "/" &amp; P119</f>
        <v/>
      </c>
      <c r="R119" s="12" t="n"/>
      <c r="S119" s="12" t="inlineStr">
        <is>
          <t>下方観測窓</t>
        </is>
      </c>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f>ROW()-1</f>
        <v/>
      </c>
      <c r="B120" s="9">
        <f>"P"&amp;TEXT(A120,"000")</f>
        <v/>
      </c>
      <c r="C120" s="9" t="n">
        <v>1</v>
      </c>
      <c r="D120" s="9" t="n">
        <v>6</v>
      </c>
      <c r="E120" s="9" t="n">
        <v>6</v>
      </c>
      <c r="F120" s="9">
        <f t="array" ref="F120">_xlfn.XLOOKUP(D120,phase!$A$2:$A$9,phase!$C$2:$C$9)</f>
        <v/>
      </c>
      <c r="G120" s="9">
        <f t="array" ref="G120">IF(F120="N",_xlfn.XLOOKUP(E120,phase!$A$2:$A$9,phase!$C$2:$C$9),F120)</f>
        <v/>
      </c>
      <c r="H120" s="9" t="n">
        <v>11</v>
      </c>
      <c r="I120" s="9" t="n">
        <v>3</v>
      </c>
      <c r="J120" s="9" t="n">
        <v>2</v>
      </c>
      <c r="K120" s="9" t="n">
        <v>1</v>
      </c>
      <c r="L120" s="9" t="inlineStr">
        <is>
          <t>起動(海陸移動)</t>
        </is>
      </c>
      <c r="M120" s="16" t="inlineStr">
        <is>
          <t>この衛星が陸海間を移動したとき、特殊通信確立コスト支払って隣接する陸区域のうち1箇所を通信確立してもよい</t>
        </is>
      </c>
      <c r="N120" s="9" t="n"/>
      <c r="O120" s="9" t="n"/>
      <c r="P120" s="9" t="n"/>
      <c r="Q120" s="9">
        <f>fix!$B$2 &amp; "/" &amp; P120</f>
        <v/>
      </c>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f>ROW()-1</f>
        <v/>
      </c>
      <c r="B121" s="12">
        <f>"P"&amp;TEXT(A121,"000")</f>
        <v/>
      </c>
      <c r="C121" s="12" t="n">
        <v>1</v>
      </c>
      <c r="D121" s="12" t="n">
        <v>6</v>
      </c>
      <c r="E121" s="12" t="n">
        <v>6</v>
      </c>
      <c r="F121" s="12">
        <f t="array" ref="F121">_xlfn.XLOOKUP(D121,phase!$A$2:$A$9,phase!$C$2:$C$9)</f>
        <v/>
      </c>
      <c r="G121" s="12">
        <f t="array" ref="G121">IF(F121="N",_xlfn.XLOOKUP(E121,phase!$A$2:$A$9,phase!$C$2:$C$9),F121)</f>
        <v/>
      </c>
      <c r="H121" s="12" t="n">
        <v>13</v>
      </c>
      <c r="I121" s="12" t="n">
        <v>3</v>
      </c>
      <c r="J121" s="12" t="n">
        <v>2</v>
      </c>
      <c r="K121" s="12" t="n">
        <v>1</v>
      </c>
      <c r="L121" s="12" t="inlineStr">
        <is>
          <t>起動(海陸移動)</t>
        </is>
      </c>
      <c r="M121" s="15" t="inlineStr">
        <is>
          <t>この衛星が陸海間を移動したとき、特殊通信確立コスト支払って隣接する海区域のうち1箇所を通信確立してもよい</t>
        </is>
      </c>
      <c r="N121" s="12" t="n"/>
      <c r="O121" s="12" t="n"/>
      <c r="P121" s="12" t="n"/>
      <c r="Q121" s="12">
        <f>fix!$B$2 &amp; "/" &amp; P121</f>
        <v/>
      </c>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f>ROW()-1</f>
        <v/>
      </c>
      <c r="B122" s="9">
        <f>"P"&amp;TEXT(A122,"000")</f>
        <v/>
      </c>
      <c r="C122" s="9" t="n">
        <v>1</v>
      </c>
      <c r="D122" s="9" t="n">
        <v>1</v>
      </c>
      <c r="E122" s="9" t="n"/>
      <c r="F122" s="9">
        <f t="array" ref="F122">_xlfn.XLOOKUP(D122,phase!$A$2:$A$9,phase!$C$2:$C$9)</f>
        <v/>
      </c>
      <c r="G122" s="9">
        <f t="array" ref="G122">IF(F122="N",_xlfn.XLOOKUP(E122,phase!$A$2:$A$9,phase!$C$2:$C$9),F122)</f>
        <v/>
      </c>
      <c r="H122" s="9" t="n">
        <v>8</v>
      </c>
      <c r="I122" s="9" t="n">
        <v>2</v>
      </c>
      <c r="J122" s="9" t="n">
        <v>3</v>
      </c>
      <c r="K122" s="9" t="n">
        <v>1</v>
      </c>
      <c r="L122" s="9" t="inlineStr">
        <is>
          <t>常時</t>
        </is>
      </c>
      <c r="M122" s="16" t="inlineStr">
        <is>
          <t>10[マネー]支払ってもよい。そうした場合、この衛星は通信確立する</t>
        </is>
      </c>
      <c r="N122" s="9" t="n"/>
      <c r="O122" s="9" t="n"/>
      <c r="P122" s="9" t="n"/>
      <c r="Q122" s="9">
        <f>fix!$B$2 &amp; "/" &amp; P122</f>
        <v/>
      </c>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f>ROW()-1</f>
        <v/>
      </c>
      <c r="B123" s="12">
        <f>"P"&amp;TEXT(A123,"000")</f>
        <v/>
      </c>
      <c r="C123" s="12" t="n">
        <v>1</v>
      </c>
      <c r="D123" s="12" t="n">
        <v>2</v>
      </c>
      <c r="E123" s="12" t="n"/>
      <c r="F123" s="12">
        <f t="array" ref="F123">_xlfn.XLOOKUP(D123,phase!$A$2:$A$9,phase!$C$2:$C$9)</f>
        <v/>
      </c>
      <c r="G123" s="12">
        <f t="array" ref="G123">IF(F123="N",_xlfn.XLOOKUP(E123,phase!$A$2:$A$9,phase!$C$2:$C$9),F123)</f>
        <v/>
      </c>
      <c r="H123" s="12" t="n">
        <v>4</v>
      </c>
      <c r="I123" s="12" t="n">
        <v>3</v>
      </c>
      <c r="J123" s="12" t="n">
        <v>3</v>
      </c>
      <c r="K123" s="12" t="n"/>
      <c r="L123" s="12" t="inlineStr">
        <is>
          <t>配備時</t>
        </is>
      </c>
      <c r="M123" s="15" t="inlineStr">
        <is>
          <t>このカードを配備したとき、目標カードを1枚引く</t>
        </is>
      </c>
      <c r="N123" s="12" t="n"/>
      <c r="O123" s="12" t="n"/>
      <c r="P123" s="12" t="n"/>
      <c r="Q123" s="12">
        <f>fix!$B$2 &amp; "/" &amp; P123</f>
        <v/>
      </c>
      <c r="R123" s="12" t="n"/>
      <c r="S123" s="12" t="inlineStr">
        <is>
          <t>中継カメラＢ</t>
        </is>
      </c>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f>ROW()-1</f>
        <v/>
      </c>
      <c r="B124" s="9">
        <f>"P"&amp;TEXT(A124,"000")</f>
        <v/>
      </c>
      <c r="C124" s="9" t="n">
        <v>1</v>
      </c>
      <c r="D124" s="9" t="n">
        <v>2</v>
      </c>
      <c r="E124" s="9" t="n"/>
      <c r="F124" s="9">
        <f t="array" ref="F124">_xlfn.XLOOKUP(D124,phase!$A$2:$A$9,phase!$C$2:$C$9)</f>
        <v/>
      </c>
      <c r="G124" s="9">
        <f t="array" ref="G124">IF(F124="N",_xlfn.XLOOKUP(E124,phase!$A$2:$A$9,phase!$C$2:$C$9),F124)</f>
        <v/>
      </c>
      <c r="H124" s="9" t="n">
        <v>12</v>
      </c>
      <c r="I124" s="9" t="n">
        <v>4</v>
      </c>
      <c r="J124" s="9" t="n">
        <v>2</v>
      </c>
      <c r="K124" s="9" t="n"/>
      <c r="L124" s="9" t="inlineStr">
        <is>
          <t>稼働中</t>
        </is>
      </c>
      <c r="M124" s="16" t="inlineStr">
        <is>
          <t>配備フェイズで、5[マネー]支払って1枚追加で配備してもよい</t>
        </is>
      </c>
      <c r="N124" s="9" t="n"/>
      <c r="O124" s="9" t="n"/>
      <c r="P124" s="9" t="n"/>
      <c r="Q124" s="9">
        <f>fix!$B$2 &amp; "/" &amp; P124</f>
        <v/>
      </c>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f>ROW()-1</f>
        <v/>
      </c>
      <c r="B125" s="12">
        <f>"P"&amp;TEXT(A125,"000")</f>
        <v/>
      </c>
      <c r="C125" s="12" t="n">
        <v>1</v>
      </c>
      <c r="D125" s="12" t="n">
        <v>3</v>
      </c>
      <c r="E125" s="12" t="n"/>
      <c r="F125" s="12">
        <f t="array" ref="F125">_xlfn.XLOOKUP(D125,phase!$A$2:$A$9,phase!$C$2:$C$9)</f>
        <v/>
      </c>
      <c r="G125" s="12">
        <f t="array" ref="G125">IF(F125="N",_xlfn.XLOOKUP(E125,phase!$A$2:$A$9,phase!$C$2:$C$9),F125)</f>
        <v/>
      </c>
      <c r="H125" s="12" t="n">
        <v>3</v>
      </c>
      <c r="I125" s="12" t="n">
        <v>2</v>
      </c>
      <c r="J125" s="12" t="n">
        <v>4</v>
      </c>
      <c r="K125" s="12" t="n"/>
      <c r="L125" s="12" t="inlineStr">
        <is>
          <t>常時</t>
        </is>
      </c>
      <c r="M125" s="15" t="inlineStr">
        <is>
          <t>転回するたび、目標カードを1枚引いて、自分の手札から目標カードを1枚捨てる</t>
        </is>
      </c>
      <c r="N125" s="12" t="n"/>
      <c r="O125" s="12" t="n"/>
      <c r="P125" s="12" t="n"/>
      <c r="Q125" s="12">
        <f>fix!$B$2 &amp; "/" &amp; P125</f>
        <v/>
      </c>
      <c r="R125" s="12" t="n"/>
      <c r="S125" s="12" t="inlineStr">
        <is>
          <t>AIコペルニクス</t>
        </is>
      </c>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f>ROW()-1</f>
        <v/>
      </c>
      <c r="B126" s="9">
        <f>"P"&amp;TEXT(A126,"000")</f>
        <v/>
      </c>
      <c r="C126" s="9" t="n">
        <v>1</v>
      </c>
      <c r="D126" s="9" t="n">
        <v>3</v>
      </c>
      <c r="E126" s="9" t="n"/>
      <c r="F126" s="9">
        <f t="array" ref="F126">_xlfn.XLOOKUP(D126,phase!$A$2:$A$9,phase!$C$2:$C$9)</f>
        <v/>
      </c>
      <c r="G126" s="9">
        <f t="array" ref="G126">IF(F126="N",_xlfn.XLOOKUP(E126,phase!$A$2:$A$9,phase!$C$2:$C$9),F126)</f>
        <v/>
      </c>
      <c r="H126" s="9" t="n">
        <v>3</v>
      </c>
      <c r="I126" s="9" t="n">
        <v>4</v>
      </c>
      <c r="J126" s="9" t="n">
        <v>2</v>
      </c>
      <c r="K126" s="9" t="n">
        <v>1</v>
      </c>
      <c r="L126" s="9" t="inlineStr">
        <is>
          <t>常時</t>
        </is>
      </c>
      <c r="M126" s="16" t="inlineStr">
        <is>
          <t>自分の[陸区域]の上空にいる衛星はすべて転回のコスト-3</t>
        </is>
      </c>
      <c r="N126" s="9" t="n"/>
      <c r="O126" s="9" t="n"/>
      <c r="P126" s="9" t="n"/>
      <c r="Q126" s="9">
        <f>fix!$B$2 &amp; "/" &amp; P126</f>
        <v/>
      </c>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f>ROW()-1</f>
        <v/>
      </c>
      <c r="B127" s="12">
        <f>"P"&amp;TEXT(A127,"000")</f>
        <v/>
      </c>
      <c r="C127" s="12" t="n">
        <v>1</v>
      </c>
      <c r="D127" s="12" t="n">
        <v>3</v>
      </c>
      <c r="E127" s="12" t="n"/>
      <c r="F127" s="12">
        <f t="array" ref="F127">_xlfn.XLOOKUP(D127,phase!$A$2:$A$9,phase!$C$2:$C$9)</f>
        <v/>
      </c>
      <c r="G127" s="12">
        <f t="array" ref="G127">IF(F127="N",_xlfn.XLOOKUP(E127,phase!$A$2:$A$9,phase!$C$2:$C$9),F127)</f>
        <v/>
      </c>
      <c r="H127" s="12" t="n">
        <v>5</v>
      </c>
      <c r="I127" s="12" t="n">
        <v>2</v>
      </c>
      <c r="J127" s="12" t="n">
        <v>4</v>
      </c>
      <c r="K127" s="12" t="n"/>
      <c r="L127" s="12" t="inlineStr">
        <is>
          <t>打ち上げ時</t>
        </is>
      </c>
      <c r="M127" s="15" t="inlineStr">
        <is>
          <t>自分の衛星を打ち上げるとき、プロジェクトカードを1枚引く</t>
        </is>
      </c>
      <c r="N127" s="12" t="n"/>
      <c r="O127" s="12" t="n"/>
      <c r="P127" s="12" t="n"/>
      <c r="Q127" s="12">
        <f>fix!$B$2 &amp; "/" &amp; P127</f>
        <v/>
      </c>
      <c r="R127" s="12" t="n"/>
      <c r="S127" s="12" t="inlineStr">
        <is>
          <t>中継カメラＡ</t>
        </is>
      </c>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f>ROW()-1</f>
        <v/>
      </c>
      <c r="B128" s="9">
        <f>"P"&amp;TEXT(A128,"000")</f>
        <v/>
      </c>
      <c r="C128" s="9" t="n">
        <v>1</v>
      </c>
      <c r="D128" s="9" t="n">
        <v>3</v>
      </c>
      <c r="E128" s="9" t="n"/>
      <c r="F128" s="9">
        <f t="array" ref="F128">_xlfn.XLOOKUP(D128,phase!$A$2:$A$9,phase!$C$2:$C$9)</f>
        <v/>
      </c>
      <c r="G128" s="9">
        <f t="array" ref="G128">IF(F128="N",_xlfn.XLOOKUP(E128,phase!$A$2:$A$9,phase!$C$2:$C$9),F128)</f>
        <v/>
      </c>
      <c r="H128" s="9" t="n">
        <v>8</v>
      </c>
      <c r="I128" s="9" t="n">
        <v>3</v>
      </c>
      <c r="J128" s="9" t="n">
        <v>6</v>
      </c>
      <c r="K128" s="9" t="n"/>
      <c r="L128" s="9" t="inlineStr">
        <is>
          <t>打ち上げ時</t>
        </is>
      </c>
      <c r="M128" s="16" t="inlineStr">
        <is>
          <t>この衛星に配備されている[Device]のカードの枚数の2倍の[マネー]を得る</t>
        </is>
      </c>
      <c r="N128" s="9" t="n"/>
      <c r="O128" s="9" t="n"/>
      <c r="P128" s="9" t="n"/>
      <c r="Q128" s="9">
        <f>fix!$B$2 &amp; "/" &amp; P128</f>
        <v/>
      </c>
      <c r="R128" s="9" t="n"/>
      <c r="S128" s="9" t="inlineStr">
        <is>
          <t>ハイパーソフトウェア</t>
        </is>
      </c>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f>ROW()-1</f>
        <v/>
      </c>
      <c r="B129" s="12">
        <f>"P"&amp;TEXT(A129,"000")</f>
        <v/>
      </c>
      <c r="C129" s="12" t="n">
        <v>1</v>
      </c>
      <c r="D129" s="12" t="n">
        <v>4</v>
      </c>
      <c r="E129" s="12" t="n"/>
      <c r="F129" s="12">
        <f t="array" ref="F129">_xlfn.XLOOKUP(D129,phase!$A$2:$A$9,phase!$C$2:$C$9)</f>
        <v/>
      </c>
      <c r="G129" s="12">
        <f t="array" ref="G129">IF(F129="N",_xlfn.XLOOKUP(E129,phase!$A$2:$A$9,phase!$C$2:$C$9),F129)</f>
        <v/>
      </c>
      <c r="H129" s="12" t="n">
        <v>4</v>
      </c>
      <c r="I129" s="12" t="n">
        <v>2</v>
      </c>
      <c r="J129" s="12" t="n">
        <v>4</v>
      </c>
      <c r="K129" s="12" t="n">
        <v>1</v>
      </c>
      <c r="L129" s="12" t="inlineStr">
        <is>
          <t>常時</t>
        </is>
      </c>
      <c r="M129" s="15" t="inlineStr">
        <is>
          <t>通信確立するたび、目標カードを1枚引いて、自分の手札から目標カードを1枚捨てる</t>
        </is>
      </c>
      <c r="N129" s="12" t="n"/>
      <c r="O129" s="12" t="n"/>
      <c r="P129" s="12" t="n"/>
      <c r="Q129" s="12">
        <f>fix!$B$2 &amp; "/" &amp; P129</f>
        <v/>
      </c>
      <c r="R129" s="12" t="n"/>
      <c r="S129" s="12" t="n"/>
      <c r="T129" s="12" t="inlineStr">
        <is>
          <t>状況がよくわかって実現可能な目標に軌道修正する感じ？</t>
        </is>
      </c>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f>ROW()-1</f>
        <v/>
      </c>
      <c r="B130" s="9">
        <f>"P"&amp;TEXT(A130,"000")</f>
        <v/>
      </c>
      <c r="C130" s="9" t="n">
        <v>1</v>
      </c>
      <c r="D130" s="9" t="n">
        <v>4</v>
      </c>
      <c r="E130" s="9" t="n"/>
      <c r="F130" s="9">
        <f t="array" ref="F130">_xlfn.XLOOKUP(D130,phase!$A$2:$A$9,phase!$C$2:$C$9)</f>
        <v/>
      </c>
      <c r="G130" s="9">
        <f t="array" ref="G130">IF(F130="N",_xlfn.XLOOKUP(E130,phase!$A$2:$A$9,phase!$C$2:$C$9),F130)</f>
        <v/>
      </c>
      <c r="H130" s="9" t="n">
        <v>7</v>
      </c>
      <c r="I130" s="9" t="n">
        <v>3</v>
      </c>
      <c r="J130" s="9" t="n">
        <v>2</v>
      </c>
      <c r="K130" s="9" t="n">
        <v>1</v>
      </c>
      <c r="L130" s="9" t="inlineStr">
        <is>
          <t>常時</t>
        </is>
      </c>
      <c r="M130" s="16" t="inlineStr">
        <is>
          <t>この衛星の通信確立のコストは-2される</t>
        </is>
      </c>
      <c r="N130" s="9" t="n"/>
      <c r="O130" s="9" t="n"/>
      <c r="P130" s="9" t="n"/>
      <c r="Q130" s="9">
        <f>fix!$B$2 &amp; "/" &amp; P130</f>
        <v/>
      </c>
      <c r="R130" s="9" t="n"/>
      <c r="S130" s="9" t="inlineStr">
        <is>
          <t>巨大アンテナ</t>
        </is>
      </c>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f>ROW()-1</f>
        <v/>
      </c>
      <c r="B131" s="12">
        <f>"P"&amp;TEXT(A131,"000")</f>
        <v/>
      </c>
      <c r="C131" s="12" t="n">
        <v>1</v>
      </c>
      <c r="D131" s="12" t="n">
        <v>5</v>
      </c>
      <c r="E131" s="12" t="n"/>
      <c r="F131" s="12">
        <f t="array" ref="F131">_xlfn.XLOOKUP(D131,phase!$A$2:$A$9,phase!$C$2:$C$9)</f>
        <v/>
      </c>
      <c r="G131" s="12">
        <f t="array" ref="G131">IF(F131="N",_xlfn.XLOOKUP(E131,phase!$A$2:$A$9,phase!$C$2:$C$9),F131)</f>
        <v/>
      </c>
      <c r="H131" s="12" t="n">
        <v>3</v>
      </c>
      <c r="I131" s="12" t="n">
        <v>2</v>
      </c>
      <c r="J131" s="12" t="n">
        <v>3</v>
      </c>
      <c r="K131" s="12" t="n">
        <v>1</v>
      </c>
      <c r="L131" s="12" t="inlineStr">
        <is>
          <t>常時</t>
        </is>
      </c>
      <c r="M131" s="15" t="inlineStr">
        <is>
          <t>プロジェクトカードを1/2枚捨ててもよい。そうした場合、自分の衛星を1機選んで、1/2区域進める。この際、ニアミスは考慮せず、燃料は1/2消費する</t>
        </is>
      </c>
      <c r="N131" s="12" t="n"/>
      <c r="O131" s="12" t="n"/>
      <c r="P131" s="12" t="n"/>
      <c r="Q131" s="12">
        <f>fix!$B$2 &amp; "/" &amp; P131</f>
        <v/>
      </c>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f>ROW()-1</f>
        <v/>
      </c>
      <c r="B132" s="9">
        <f>"P"&amp;TEXT(A132,"000")</f>
        <v/>
      </c>
      <c r="C132" s="9" t="n">
        <v>1</v>
      </c>
      <c r="D132" s="9" t="n">
        <v>5</v>
      </c>
      <c r="E132" s="9" t="n"/>
      <c r="F132" s="9">
        <f t="array" ref="F132">_xlfn.XLOOKUP(D132,phase!$A$2:$A$9,phase!$C$2:$C$9)</f>
        <v/>
      </c>
      <c r="G132" s="9">
        <f t="array" ref="G132">IF(F132="N",_xlfn.XLOOKUP(E132,phase!$A$2:$A$9,phase!$C$2:$C$9),F132)</f>
        <v/>
      </c>
      <c r="H132" s="9" t="n">
        <v>4</v>
      </c>
      <c r="I132" s="9" t="n">
        <v>2</v>
      </c>
      <c r="J132" s="9" t="n">
        <v>3</v>
      </c>
      <c r="K132" s="9" t="n">
        <v>1</v>
      </c>
      <c r="L132" s="9" t="inlineStr">
        <is>
          <t>稼働中</t>
        </is>
      </c>
      <c r="M132" s="16" t="inlineStr">
        <is>
          <t>企画フェイズでプロジェクトカードの代わりに目標カードを合わせて所定枚数引く。手札に残す枚数は変わらない</t>
        </is>
      </c>
      <c r="N132" s="9" t="n"/>
      <c r="O132" s="9" t="n"/>
      <c r="P132" s="9" t="n"/>
      <c r="Q132" s="9">
        <f>fix!$B$2 &amp; "/" &amp; P132</f>
        <v/>
      </c>
      <c r="R132" s="9" t="n"/>
      <c r="S132" s="9" t="inlineStr">
        <is>
          <t>司令官</t>
        </is>
      </c>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f>ROW()-1</f>
        <v/>
      </c>
      <c r="B133" s="12">
        <f>"P"&amp;TEXT(A133,"000")</f>
        <v/>
      </c>
      <c r="C133" s="12" t="n">
        <v>1</v>
      </c>
      <c r="D133" s="12" t="n">
        <v>6</v>
      </c>
      <c r="E133" s="12" t="n"/>
      <c r="F133" s="12">
        <f t="array" ref="F133">_xlfn.XLOOKUP(D133,phase!$A$2:$A$9,phase!$C$2:$C$9)</f>
        <v/>
      </c>
      <c r="G133" s="12">
        <f t="array" ref="G133">IF(F133="N",_xlfn.XLOOKUP(E133,phase!$A$2:$A$9,phase!$C$2:$C$9),F133)</f>
        <v/>
      </c>
      <c r="H133" s="12" t="n">
        <v>4</v>
      </c>
      <c r="I133" s="12" t="n">
        <v>2</v>
      </c>
      <c r="J133" s="12" t="n">
        <v>4</v>
      </c>
      <c r="K133" s="12" t="n">
        <v>1</v>
      </c>
      <c r="L133" s="12" t="inlineStr">
        <is>
          <t>着陸/着水時</t>
        </is>
      </c>
      <c r="M133" s="15" t="inlineStr">
        <is>
          <t>自分の衛星が着陸/着水したとき、+2[予算]</t>
        </is>
      </c>
      <c r="N133" s="12" t="n"/>
      <c r="O133" s="12" t="n"/>
      <c r="P133" s="12" t="n"/>
      <c r="Q133" s="12">
        <f>fix!$B$2 &amp; "/" &amp; P133</f>
        <v/>
      </c>
      <c r="R133" s="12" t="n"/>
      <c r="S133" s="12" t="inlineStr">
        <is>
          <t>重大研究データ</t>
        </is>
      </c>
      <c r="T133" s="12" t="inlineStr">
        <is>
          <t>衛星が戻ってきたら、衛星の知見によりGDPが上がる</t>
        </is>
      </c>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f>ROW()-1</f>
        <v/>
      </c>
      <c r="B134" s="9">
        <f>"P"&amp;TEXT(A134,"000")</f>
        <v/>
      </c>
      <c r="C134" s="9" t="n">
        <v>1</v>
      </c>
      <c r="D134" s="9" t="n">
        <v>6</v>
      </c>
      <c r="E134" s="9" t="n"/>
      <c r="F134" s="9">
        <f t="array" ref="F134">_xlfn.XLOOKUP(D134,phase!$A$2:$A$9,phase!$C$2:$C$9)</f>
        <v/>
      </c>
      <c r="G134" s="9">
        <f t="array" ref="G134">IF(F134="N",_xlfn.XLOOKUP(E134,phase!$A$2:$A$9,phase!$C$2:$C$9),F134)</f>
        <v/>
      </c>
      <c r="H134" s="9" t="n">
        <v>4</v>
      </c>
      <c r="I134" s="9" t="n">
        <v>2</v>
      </c>
      <c r="J134" s="9" t="n">
        <v>4</v>
      </c>
      <c r="K134" s="9" t="n"/>
      <c r="L134" s="9" t="inlineStr">
        <is>
          <t>稼働中</t>
        </is>
      </c>
      <c r="M134" s="16" t="inlineStr">
        <is>
          <t>自分の他の衛星が着陸/着水時したとき、+5[マネー]</t>
        </is>
      </c>
      <c r="N134" s="9" t="n"/>
      <c r="O134" s="9" t="n"/>
      <c r="P134" s="9" t="n"/>
      <c r="Q134" s="9">
        <f>fix!$B$2 &amp; "/" &amp; P134</f>
        <v/>
      </c>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row r="942">
      <c r="A942" s="9" t="n"/>
      <c r="B942" s="9" t="n"/>
      <c r="C942" s="9" t="n"/>
      <c r="D942" s="9" t="n"/>
      <c r="E942" s="9" t="n"/>
      <c r="F942" s="9" t="n"/>
      <c r="G942" s="9" t="n"/>
      <c r="H942" s="9" t="n"/>
      <c r="I942" s="9" t="n"/>
      <c r="J942" s="9" t="n"/>
      <c r="K942" s="9" t="n"/>
      <c r="L942" s="9" t="n"/>
      <c r="M942" s="16"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row>
    <row r="943">
      <c r="A943" s="12" t="n"/>
      <c r="B943" s="12" t="n"/>
      <c r="C943" s="12" t="n"/>
      <c r="D943" s="12" t="n"/>
      <c r="E943" s="12" t="n"/>
      <c r="F943" s="12" t="n"/>
      <c r="G943" s="12" t="n"/>
      <c r="H943" s="12" t="n"/>
      <c r="I943" s="12" t="n"/>
      <c r="J943" s="12" t="n"/>
      <c r="K943" s="12" t="n"/>
      <c r="L943" s="12" t="n"/>
      <c r="M943" s="15"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row>
    <row r="944">
      <c r="A944" s="9" t="n"/>
      <c r="B944" s="9" t="n"/>
      <c r="C944" s="9" t="n"/>
      <c r="D944" s="9" t="n"/>
      <c r="E944" s="9" t="n"/>
      <c r="F944" s="9" t="n"/>
      <c r="G944" s="9" t="n"/>
      <c r="H944" s="9" t="n"/>
      <c r="I944" s="9" t="n"/>
      <c r="J944" s="9" t="n"/>
      <c r="K944" s="9" t="n"/>
      <c r="L944" s="9" t="n"/>
      <c r="M944" s="16"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row>
    <row r="945">
      <c r="A945" s="12" t="n"/>
      <c r="B945" s="12" t="n"/>
      <c r="C945" s="12" t="n"/>
      <c r="D945" s="12" t="n"/>
      <c r="E945" s="12" t="n"/>
      <c r="F945" s="12" t="n"/>
      <c r="G945" s="12" t="n"/>
      <c r="H945" s="12" t="n"/>
      <c r="I945" s="12" t="n"/>
      <c r="J945" s="12" t="n"/>
      <c r="K945" s="12" t="n"/>
      <c r="L945" s="12" t="n"/>
      <c r="M945" s="15"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row>
    <row r="946">
      <c r="A946" s="9" t="n"/>
      <c r="B946" s="9" t="n"/>
      <c r="C946" s="9" t="n"/>
      <c r="D946" s="9" t="n"/>
      <c r="E946" s="9" t="n"/>
      <c r="F946" s="9" t="n"/>
      <c r="G946" s="9" t="n"/>
      <c r="H946" s="9" t="n"/>
      <c r="I946" s="9" t="n"/>
      <c r="J946" s="9" t="n"/>
      <c r="K946" s="9" t="n"/>
      <c r="L946" s="9" t="n"/>
      <c r="M946" s="16"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row>
    <row r="947">
      <c r="A947" s="12" t="n"/>
      <c r="B947" s="12" t="n"/>
      <c r="C947" s="12" t="n"/>
      <c r="D947" s="12" t="n"/>
      <c r="E947" s="12" t="n"/>
      <c r="F947" s="12" t="n"/>
      <c r="G947" s="12" t="n"/>
      <c r="H947" s="12" t="n"/>
      <c r="I947" s="12" t="n"/>
      <c r="J947" s="12" t="n"/>
      <c r="K947" s="12" t="n"/>
      <c r="L947" s="12" t="n"/>
      <c r="M947" s="15"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row>
    <row r="948">
      <c r="A948" s="9" t="n"/>
      <c r="B948" s="9" t="n"/>
      <c r="C948" s="9" t="n"/>
      <c r="D948" s="9" t="n"/>
      <c r="E948" s="9" t="n"/>
      <c r="F948" s="9" t="n"/>
      <c r="G948" s="9" t="n"/>
      <c r="H948" s="9" t="n"/>
      <c r="I948" s="9" t="n"/>
      <c r="J948" s="9" t="n"/>
      <c r="K948" s="9" t="n"/>
      <c r="L948" s="9" t="n"/>
      <c r="M948" s="16"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row>
    <row r="949">
      <c r="A949" s="12" t="n"/>
      <c r="B949" s="12" t="n"/>
      <c r="C949" s="12" t="n"/>
      <c r="D949" s="12" t="n"/>
      <c r="E949" s="12" t="n"/>
      <c r="F949" s="12" t="n"/>
      <c r="G949" s="12" t="n"/>
      <c r="H949" s="12" t="n"/>
      <c r="I949" s="12" t="n"/>
      <c r="J949" s="12" t="n"/>
      <c r="K949" s="12" t="n"/>
      <c r="L949" s="12" t="n"/>
      <c r="M949" s="15"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row>
    <row r="950">
      <c r="A950" s="9" t="n"/>
      <c r="B950" s="9" t="n"/>
      <c r="C950" s="9" t="n"/>
      <c r="D950" s="9" t="n"/>
      <c r="E950" s="9" t="n"/>
      <c r="F950" s="9" t="n"/>
      <c r="G950" s="9" t="n"/>
      <c r="H950" s="9" t="n"/>
      <c r="I950" s="9" t="n"/>
      <c r="J950" s="9" t="n"/>
      <c r="K950" s="9" t="n"/>
      <c r="L950" s="9" t="n"/>
      <c r="M950" s="16"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row>
    <row r="951">
      <c r="A951" s="12" t="n"/>
      <c r="B951" s="12" t="n"/>
      <c r="C951" s="12" t="n"/>
      <c r="D951" s="12" t="n"/>
      <c r="E951" s="12" t="n"/>
      <c r="F951" s="12" t="n"/>
      <c r="G951" s="12" t="n"/>
      <c r="H951" s="12" t="n"/>
      <c r="I951" s="12" t="n"/>
      <c r="J951" s="12" t="n"/>
      <c r="K951" s="12" t="n"/>
      <c r="L951" s="12" t="n"/>
      <c r="M951" s="15"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row>
    <row r="952">
      <c r="A952" s="9" t="n"/>
      <c r="B952" s="9" t="n"/>
      <c r="C952" s="9" t="n"/>
      <c r="D952" s="9" t="n"/>
      <c r="E952" s="9" t="n"/>
      <c r="F952" s="9" t="n"/>
      <c r="G952" s="9" t="n"/>
      <c r="H952" s="9" t="n"/>
      <c r="I952" s="9" t="n"/>
      <c r="J952" s="9" t="n"/>
      <c r="K952" s="9" t="n"/>
      <c r="L952" s="9" t="n"/>
      <c r="M952" s="16"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row>
    <row r="953">
      <c r="A953" s="12" t="n"/>
      <c r="B953" s="12" t="n"/>
      <c r="C953" s="12" t="n"/>
      <c r="D953" s="12" t="n"/>
      <c r="E953" s="12" t="n"/>
      <c r="F953" s="12" t="n"/>
      <c r="G953" s="12" t="n"/>
      <c r="H953" s="12" t="n"/>
      <c r="I953" s="12" t="n"/>
      <c r="J953" s="12" t="n"/>
      <c r="K953" s="12" t="n"/>
      <c r="L953" s="12" t="n"/>
      <c r="M953" s="15"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row>
    <row r="954">
      <c r="A954" s="9" t="n"/>
      <c r="B954" s="9" t="n"/>
      <c r="C954" s="9" t="n"/>
      <c r="D954" s="9" t="n"/>
      <c r="E954" s="9" t="n"/>
      <c r="F954" s="9" t="n"/>
      <c r="G954" s="9" t="n"/>
      <c r="H954" s="9" t="n"/>
      <c r="I954" s="9" t="n"/>
      <c r="J954" s="9" t="n"/>
      <c r="K954" s="9" t="n"/>
      <c r="L954" s="9" t="n"/>
      <c r="M954" s="16"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row>
    <row r="955">
      <c r="A955" s="12" t="n"/>
      <c r="B955" s="12" t="n"/>
      <c r="C955" s="12" t="n"/>
      <c r="D955" s="12" t="n"/>
      <c r="E955" s="12" t="n"/>
      <c r="F955" s="12" t="n"/>
      <c r="G955" s="12" t="n"/>
      <c r="H955" s="12" t="n"/>
      <c r="I955" s="12" t="n"/>
      <c r="J955" s="12" t="n"/>
      <c r="K955" s="12" t="n"/>
      <c r="L955" s="12" t="n"/>
      <c r="M955" s="15"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row>
    <row r="956">
      <c r="A956" s="9" t="n"/>
      <c r="B956" s="9" t="n"/>
      <c r="C956" s="9" t="n"/>
      <c r="D956" s="9" t="n"/>
      <c r="E956" s="9" t="n"/>
      <c r="F956" s="9" t="n"/>
      <c r="G956" s="9" t="n"/>
      <c r="H956" s="9" t="n"/>
      <c r="I956" s="9" t="n"/>
      <c r="J956" s="9" t="n"/>
      <c r="K956" s="9" t="n"/>
      <c r="L956" s="9" t="n"/>
      <c r="M956" s="16"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row>
    <row r="957">
      <c r="A957" s="12" t="n"/>
      <c r="B957" s="12" t="n"/>
      <c r="C957" s="12" t="n"/>
      <c r="D957" s="12" t="n"/>
      <c r="E957" s="12" t="n"/>
      <c r="F957" s="12" t="n"/>
      <c r="G957" s="12" t="n"/>
      <c r="H957" s="12" t="n"/>
      <c r="I957" s="12" t="n"/>
      <c r="J957" s="12" t="n"/>
      <c r="K957" s="12" t="n"/>
      <c r="L957" s="12" t="n"/>
      <c r="M957" s="15"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row>
    <row r="958">
      <c r="A958" s="9" t="n"/>
      <c r="B958" s="9" t="n"/>
      <c r="C958" s="9" t="n"/>
      <c r="D958" s="9" t="n"/>
      <c r="E958" s="9" t="n"/>
      <c r="F958" s="9" t="n"/>
      <c r="G958" s="9" t="n"/>
      <c r="H958" s="9" t="n"/>
      <c r="I958" s="9" t="n"/>
      <c r="J958" s="9" t="n"/>
      <c r="K958" s="9" t="n"/>
      <c r="L958" s="9" t="n"/>
      <c r="M958" s="16"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row>
    <row r="959">
      <c r="A959" s="12" t="n"/>
      <c r="B959" s="12" t="n"/>
      <c r="C959" s="12" t="n"/>
      <c r="D959" s="12" t="n"/>
      <c r="E959" s="12" t="n"/>
      <c r="F959" s="12" t="n"/>
      <c r="G959" s="12" t="n"/>
      <c r="H959" s="12" t="n"/>
      <c r="I959" s="12" t="n"/>
      <c r="J959" s="12" t="n"/>
      <c r="K959" s="12" t="n"/>
      <c r="L959" s="12" t="n"/>
      <c r="M959" s="15"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row>
    <row r="960">
      <c r="A960" s="9" t="n"/>
      <c r="B960" s="9" t="n"/>
      <c r="C960" s="9" t="n"/>
      <c r="D960" s="9" t="n"/>
      <c r="E960" s="9" t="n"/>
      <c r="F960" s="9" t="n"/>
      <c r="G960" s="9" t="n"/>
      <c r="H960" s="9" t="n"/>
      <c r="I960" s="9" t="n"/>
      <c r="J960" s="9" t="n"/>
      <c r="K960" s="9" t="n"/>
      <c r="L960" s="9" t="n"/>
      <c r="M960" s="16"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row>
    <row r="961">
      <c r="A961" s="12" t="n"/>
      <c r="B961" s="12" t="n"/>
      <c r="C961" s="12" t="n"/>
      <c r="D961" s="12" t="n"/>
      <c r="E961" s="12" t="n"/>
      <c r="F961" s="12" t="n"/>
      <c r="G961" s="12" t="n"/>
      <c r="H961" s="12" t="n"/>
      <c r="I961" s="12" t="n"/>
      <c r="J961" s="12" t="n"/>
      <c r="K961" s="12" t="n"/>
      <c r="L961" s="12" t="n"/>
      <c r="M961" s="15"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row>
    <row r="962">
      <c r="A962" s="9" t="n"/>
      <c r="B962" s="9" t="n"/>
      <c r="C962" s="9" t="n"/>
      <c r="D962" s="9" t="n"/>
      <c r="E962" s="9" t="n"/>
      <c r="F962" s="9" t="n"/>
      <c r="G962" s="9" t="n"/>
      <c r="H962" s="9" t="n"/>
      <c r="I962" s="9" t="n"/>
      <c r="J962" s="9" t="n"/>
      <c r="K962" s="9" t="n"/>
      <c r="L962" s="9" t="n"/>
      <c r="M962" s="16"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row>
    <row r="963">
      <c r="A963" s="12" t="n"/>
      <c r="B963" s="12" t="n"/>
      <c r="C963" s="12" t="n"/>
      <c r="D963" s="12" t="n"/>
      <c r="E963" s="12" t="n"/>
      <c r="F963" s="12" t="n"/>
      <c r="G963" s="12" t="n"/>
      <c r="H963" s="12" t="n"/>
      <c r="I963" s="12" t="n"/>
      <c r="J963" s="12" t="n"/>
      <c r="K963" s="12" t="n"/>
      <c r="L963" s="12" t="n"/>
      <c r="M963" s="15"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row>
    <row r="964">
      <c r="A964" s="9" t="n"/>
      <c r="B964" s="9" t="n"/>
      <c r="C964" s="9" t="n"/>
      <c r="D964" s="9" t="n"/>
      <c r="E964" s="9" t="n"/>
      <c r="F964" s="9" t="n"/>
      <c r="G964" s="9" t="n"/>
      <c r="H964" s="9" t="n"/>
      <c r="I964" s="9" t="n"/>
      <c r="J964" s="9" t="n"/>
      <c r="K964" s="9" t="n"/>
      <c r="L964" s="9" t="n"/>
      <c r="M964" s="16"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row>
    <row r="965">
      <c r="A965" s="12" t="n"/>
      <c r="B965" s="12" t="n"/>
      <c r="C965" s="12" t="n"/>
      <c r="D965" s="12" t="n"/>
      <c r="E965" s="12" t="n"/>
      <c r="F965" s="12" t="n"/>
      <c r="G965" s="12" t="n"/>
      <c r="H965" s="12" t="n"/>
      <c r="I965" s="12" t="n"/>
      <c r="J965" s="12" t="n"/>
      <c r="K965" s="12" t="n"/>
      <c r="L965" s="12" t="n"/>
      <c r="M965" s="15"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row>
    <row r="966">
      <c r="A966" s="9" t="n"/>
      <c r="B966" s="9" t="n"/>
      <c r="C966" s="9" t="n"/>
      <c r="D966" s="9" t="n"/>
      <c r="E966" s="9" t="n"/>
      <c r="F966" s="9" t="n"/>
      <c r="G966" s="9" t="n"/>
      <c r="H966" s="9" t="n"/>
      <c r="I966" s="9" t="n"/>
      <c r="J966" s="9" t="n"/>
      <c r="K966" s="9" t="n"/>
      <c r="L966" s="9" t="n"/>
      <c r="M966" s="16"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row>
    <row r="967">
      <c r="A967" s="12" t="n"/>
      <c r="B967" s="12" t="n"/>
      <c r="C967" s="12" t="n"/>
      <c r="D967" s="12" t="n"/>
      <c r="E967" s="12" t="n"/>
      <c r="F967" s="12" t="n"/>
      <c r="G967" s="12" t="n"/>
      <c r="H967" s="12" t="n"/>
      <c r="I967" s="12" t="n"/>
      <c r="J967" s="12" t="n"/>
      <c r="K967" s="12" t="n"/>
      <c r="L967" s="12" t="n"/>
      <c r="M967" s="15"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row>
    <row r="968">
      <c r="A968" s="9" t="n"/>
      <c r="B968" s="9" t="n"/>
      <c r="C968" s="9" t="n"/>
      <c r="D968" s="9" t="n"/>
      <c r="E968" s="9" t="n"/>
      <c r="F968" s="9" t="n"/>
      <c r="G968" s="9" t="n"/>
      <c r="H968" s="9" t="n"/>
      <c r="I968" s="9" t="n"/>
      <c r="J968" s="9" t="n"/>
      <c r="K968" s="9" t="n"/>
      <c r="L968" s="9" t="n"/>
      <c r="M968" s="16"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row>
    <row r="969">
      <c r="A969" s="12" t="n"/>
      <c r="B969" s="12" t="n"/>
      <c r="C969" s="12" t="n"/>
      <c r="D969" s="12" t="n"/>
      <c r="E969" s="12" t="n"/>
      <c r="F969" s="12" t="n"/>
      <c r="G969" s="12" t="n"/>
      <c r="H969" s="12" t="n"/>
      <c r="I969" s="12" t="n"/>
      <c r="J969" s="12" t="n"/>
      <c r="K969" s="12" t="n"/>
      <c r="L969" s="12" t="n"/>
      <c r="M969" s="15"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row>
    <row r="970">
      <c r="A970" s="9" t="n"/>
      <c r="B970" s="9" t="n"/>
      <c r="C970" s="9" t="n"/>
      <c r="D970" s="9" t="n"/>
      <c r="E970" s="9" t="n"/>
      <c r="F970" s="9" t="n"/>
      <c r="G970" s="9" t="n"/>
      <c r="H970" s="9" t="n"/>
      <c r="I970" s="9" t="n"/>
      <c r="J970" s="9" t="n"/>
      <c r="K970" s="9" t="n"/>
      <c r="L970" s="9" t="n"/>
      <c r="M970" s="16"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row>
    <row r="971">
      <c r="A971" s="12" t="n"/>
      <c r="B971" s="12" t="n"/>
      <c r="C971" s="12" t="n"/>
      <c r="D971" s="12" t="n"/>
      <c r="E971" s="12" t="n"/>
      <c r="F971" s="12" t="n"/>
      <c r="G971" s="12" t="n"/>
      <c r="H971" s="12" t="n"/>
      <c r="I971" s="12" t="n"/>
      <c r="J971" s="12" t="n"/>
      <c r="K971" s="12" t="n"/>
      <c r="L971" s="12" t="n"/>
      <c r="M971" s="15"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row>
    <row r="972">
      <c r="A972" s="9" t="n"/>
      <c r="B972" s="9" t="n"/>
      <c r="C972" s="9" t="n"/>
      <c r="D972" s="9" t="n"/>
      <c r="E972" s="9" t="n"/>
      <c r="F972" s="9" t="n"/>
      <c r="G972" s="9" t="n"/>
      <c r="H972" s="9" t="n"/>
      <c r="I972" s="9" t="n"/>
      <c r="J972" s="9" t="n"/>
      <c r="K972" s="9" t="n"/>
      <c r="L972" s="9" t="n"/>
      <c r="M972" s="16"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row>
    <row r="973">
      <c r="A973" s="12" t="n"/>
      <c r="B973" s="12" t="n"/>
      <c r="C973" s="12" t="n"/>
      <c r="D973" s="12" t="n"/>
      <c r="E973" s="12" t="n"/>
      <c r="F973" s="12" t="n"/>
      <c r="G973" s="12" t="n"/>
      <c r="H973" s="12" t="n"/>
      <c r="I973" s="12" t="n"/>
      <c r="J973" s="12" t="n"/>
      <c r="K973" s="12" t="n"/>
      <c r="L973" s="12" t="n"/>
      <c r="M973" s="15"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row>
    <row r="974">
      <c r="A974" s="9" t="n"/>
      <c r="B974" s="9" t="n"/>
      <c r="C974" s="9" t="n"/>
      <c r="D974" s="9" t="n"/>
      <c r="E974" s="9" t="n"/>
      <c r="F974" s="9" t="n"/>
      <c r="G974" s="9" t="n"/>
      <c r="H974" s="9" t="n"/>
      <c r="I974" s="9" t="n"/>
      <c r="J974" s="9" t="n"/>
      <c r="K974" s="9" t="n"/>
      <c r="L974" s="9" t="n"/>
      <c r="M974" s="16"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row>
    <row r="975">
      <c r="A975" s="12" t="n"/>
      <c r="B975" s="12" t="n"/>
      <c r="C975" s="12" t="n"/>
      <c r="D975" s="12" t="n"/>
      <c r="E975" s="12" t="n"/>
      <c r="F975" s="12" t="n"/>
      <c r="G975" s="12" t="n"/>
      <c r="H975" s="12" t="n"/>
      <c r="I975" s="12" t="n"/>
      <c r="J975" s="12" t="n"/>
      <c r="K975" s="12" t="n"/>
      <c r="L975" s="12" t="n"/>
      <c r="M975" s="15"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row>
    <row r="976">
      <c r="A976" s="9" t="n"/>
      <c r="B976" s="9" t="n"/>
      <c r="C976" s="9" t="n"/>
      <c r="D976" s="9" t="n"/>
      <c r="E976" s="9" t="n"/>
      <c r="F976" s="9" t="n"/>
      <c r="G976" s="9" t="n"/>
      <c r="H976" s="9" t="n"/>
      <c r="I976" s="9" t="n"/>
      <c r="J976" s="9" t="n"/>
      <c r="K976" s="9" t="n"/>
      <c r="L976" s="9" t="n"/>
      <c r="M976" s="16"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row>
    <row r="977">
      <c r="A977" s="12" t="n"/>
      <c r="B977" s="12" t="n"/>
      <c r="C977" s="12" t="n"/>
      <c r="D977" s="12" t="n"/>
      <c r="E977" s="12" t="n"/>
      <c r="F977" s="12" t="n"/>
      <c r="G977" s="12" t="n"/>
      <c r="H977" s="12" t="n"/>
      <c r="I977" s="12" t="n"/>
      <c r="J977" s="12" t="n"/>
      <c r="K977" s="12" t="n"/>
      <c r="L977" s="12" t="n"/>
      <c r="M977" s="15"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row>
    <row r="978">
      <c r="A978" s="9" t="n"/>
      <c r="B978" s="9" t="n"/>
      <c r="C978" s="9" t="n"/>
      <c r="D978" s="9" t="n"/>
      <c r="E978" s="9" t="n"/>
      <c r="F978" s="9" t="n"/>
      <c r="G978" s="9" t="n"/>
      <c r="H978" s="9" t="n"/>
      <c r="I978" s="9" t="n"/>
      <c r="J978" s="9" t="n"/>
      <c r="K978" s="9" t="n"/>
      <c r="L978" s="9" t="n"/>
      <c r="M978" s="16"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row>
    <row r="979">
      <c r="A979" s="12" t="n"/>
      <c r="B979" s="12" t="n"/>
      <c r="C979" s="12" t="n"/>
      <c r="D979" s="12" t="n"/>
      <c r="E979" s="12" t="n"/>
      <c r="F979" s="12" t="n"/>
      <c r="G979" s="12" t="n"/>
      <c r="H979" s="12" t="n"/>
      <c r="I979" s="12" t="n"/>
      <c r="J979" s="12" t="n"/>
      <c r="K979" s="12" t="n"/>
      <c r="L979" s="12" t="n"/>
      <c r="M979" s="15"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row>
    <row r="980">
      <c r="A980" s="9" t="n"/>
      <c r="B980" s="9" t="n"/>
      <c r="C980" s="9" t="n"/>
      <c r="D980" s="9" t="n"/>
      <c r="E980" s="9" t="n"/>
      <c r="F980" s="9" t="n"/>
      <c r="G980" s="9" t="n"/>
      <c r="H980" s="9" t="n"/>
      <c r="I980" s="9" t="n"/>
      <c r="J980" s="9" t="n"/>
      <c r="K980" s="9" t="n"/>
      <c r="L980" s="9" t="n"/>
      <c r="M980" s="16"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row>
    <row r="981">
      <c r="A981" s="12" t="n"/>
      <c r="B981" s="12" t="n"/>
      <c r="C981" s="12" t="n"/>
      <c r="D981" s="12" t="n"/>
      <c r="E981" s="12" t="n"/>
      <c r="F981" s="12" t="n"/>
      <c r="G981" s="12" t="n"/>
      <c r="H981" s="12" t="n"/>
      <c r="I981" s="12" t="n"/>
      <c r="J981" s="12" t="n"/>
      <c r="K981" s="12" t="n"/>
      <c r="L981" s="12" t="n"/>
      <c r="M981" s="15"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row>
    <row r="982">
      <c r="A982" s="9" t="n"/>
      <c r="B982" s="9" t="n"/>
      <c r="C982" s="9" t="n"/>
      <c r="D982" s="9" t="n"/>
      <c r="E982" s="9" t="n"/>
      <c r="F982" s="9" t="n"/>
      <c r="G982" s="9" t="n"/>
      <c r="H982" s="9" t="n"/>
      <c r="I982" s="9" t="n"/>
      <c r="J982" s="9" t="n"/>
      <c r="K982" s="9" t="n"/>
      <c r="L982" s="9" t="n"/>
      <c r="M982" s="16"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row>
    <row r="983">
      <c r="A983" s="12" t="n"/>
      <c r="B983" s="12" t="n"/>
      <c r="C983" s="12" t="n"/>
      <c r="D983" s="12" t="n"/>
      <c r="E983" s="12" t="n"/>
      <c r="F983" s="12" t="n"/>
      <c r="G983" s="12" t="n"/>
      <c r="H983" s="12" t="n"/>
      <c r="I983" s="12" t="n"/>
      <c r="J983" s="12" t="n"/>
      <c r="K983" s="12" t="n"/>
      <c r="L983" s="12" t="n"/>
      <c r="M983" s="15"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row>
    <row r="984">
      <c r="A984" s="9" t="n"/>
      <c r="B984" s="9" t="n"/>
      <c r="C984" s="9" t="n"/>
      <c r="D984" s="9" t="n"/>
      <c r="E984" s="9" t="n"/>
      <c r="F984" s="9" t="n"/>
      <c r="G984" s="9" t="n"/>
      <c r="H984" s="9" t="n"/>
      <c r="I984" s="9" t="n"/>
      <c r="J984" s="9" t="n"/>
      <c r="K984" s="9" t="n"/>
      <c r="L984" s="9" t="n"/>
      <c r="M984" s="16"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row>
    <row r="985">
      <c r="A985" s="12" t="n"/>
      <c r="B985" s="12" t="n"/>
      <c r="C985" s="12" t="n"/>
      <c r="D985" s="12" t="n"/>
      <c r="E985" s="12" t="n"/>
      <c r="F985" s="12" t="n"/>
      <c r="G985" s="12" t="n"/>
      <c r="H985" s="12" t="n"/>
      <c r="I985" s="12" t="n"/>
      <c r="J985" s="12" t="n"/>
      <c r="K985" s="12" t="n"/>
      <c r="L985" s="12" t="n"/>
      <c r="M985" s="15"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row>
    <row r="986">
      <c r="A986" s="9" t="n"/>
      <c r="B986" s="9" t="n"/>
      <c r="C986" s="9" t="n"/>
      <c r="D986" s="9" t="n"/>
      <c r="E986" s="9" t="n"/>
      <c r="F986" s="9" t="n"/>
      <c r="G986" s="9" t="n"/>
      <c r="H986" s="9" t="n"/>
      <c r="I986" s="9" t="n"/>
      <c r="J986" s="9" t="n"/>
      <c r="K986" s="9" t="n"/>
      <c r="L986" s="9" t="n"/>
      <c r="M986" s="16"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row>
    <row r="987">
      <c r="A987" s="12" t="n"/>
      <c r="B987" s="12" t="n"/>
      <c r="C987" s="12" t="n"/>
      <c r="D987" s="12" t="n"/>
      <c r="E987" s="12" t="n"/>
      <c r="F987" s="12" t="n"/>
      <c r="G987" s="12" t="n"/>
      <c r="H987" s="12" t="n"/>
      <c r="I987" s="12" t="n"/>
      <c r="J987" s="12" t="n"/>
      <c r="K987" s="12" t="n"/>
      <c r="L987" s="12" t="n"/>
      <c r="M987" s="15"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row>
    <row r="988">
      <c r="A988" s="9" t="n"/>
      <c r="B988" s="9" t="n"/>
      <c r="C988" s="9" t="n"/>
      <c r="D988" s="9" t="n"/>
      <c r="E988" s="9" t="n"/>
      <c r="F988" s="9" t="n"/>
      <c r="G988" s="9" t="n"/>
      <c r="H988" s="9" t="n"/>
      <c r="I988" s="9" t="n"/>
      <c r="J988" s="9" t="n"/>
      <c r="K988" s="9" t="n"/>
      <c r="L988" s="9" t="n"/>
      <c r="M988" s="16"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row>
    <row r="989">
      <c r="A989" s="12" t="n"/>
      <c r="B989" s="12" t="n"/>
      <c r="C989" s="12" t="n"/>
      <c r="D989" s="12" t="n"/>
      <c r="E989" s="12" t="n"/>
      <c r="F989" s="12" t="n"/>
      <c r="G989" s="12" t="n"/>
      <c r="H989" s="12" t="n"/>
      <c r="I989" s="12" t="n"/>
      <c r="J989" s="12" t="n"/>
      <c r="K989" s="12" t="n"/>
      <c r="L989" s="12" t="n"/>
      <c r="M989" s="15"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row>
    <row r="990">
      <c r="A990" s="9" t="n"/>
      <c r="B990" s="9" t="n"/>
      <c r="C990" s="9" t="n"/>
      <c r="D990" s="9" t="n"/>
      <c r="E990" s="9" t="n"/>
      <c r="F990" s="9" t="n"/>
      <c r="G990" s="9" t="n"/>
      <c r="H990" s="9" t="n"/>
      <c r="I990" s="9" t="n"/>
      <c r="J990" s="9" t="n"/>
      <c r="K990" s="9" t="n"/>
      <c r="L990" s="9" t="n"/>
      <c r="M990" s="16"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row>
    <row r="991">
      <c r="A991" s="12" t="n"/>
      <c r="B991" s="12" t="n"/>
      <c r="C991" s="12" t="n"/>
      <c r="D991" s="12" t="n"/>
      <c r="E991" s="12" t="n"/>
      <c r="F991" s="12" t="n"/>
      <c r="G991" s="12" t="n"/>
      <c r="H991" s="12" t="n"/>
      <c r="I991" s="12" t="n"/>
      <c r="J991" s="12" t="n"/>
      <c r="K991" s="12" t="n"/>
      <c r="L991" s="12" t="n"/>
      <c r="M991" s="15"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row>
    <row r="992">
      <c r="A992" s="9" t="n"/>
      <c r="B992" s="9" t="n"/>
      <c r="C992" s="9" t="n"/>
      <c r="D992" s="9" t="n"/>
      <c r="E992" s="9" t="n"/>
      <c r="F992" s="9" t="n"/>
      <c r="G992" s="9" t="n"/>
      <c r="H992" s="9" t="n"/>
      <c r="I992" s="9" t="n"/>
      <c r="J992" s="9" t="n"/>
      <c r="K992" s="9" t="n"/>
      <c r="L992" s="9" t="n"/>
      <c r="M992" s="16"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row>
    <row r="993">
      <c r="A993" s="12" t="n"/>
      <c r="B993" s="12" t="n"/>
      <c r="C993" s="12" t="n"/>
      <c r="D993" s="12" t="n"/>
      <c r="E993" s="12" t="n"/>
      <c r="F993" s="12" t="n"/>
      <c r="G993" s="12" t="n"/>
      <c r="H993" s="12" t="n"/>
      <c r="I993" s="12" t="n"/>
      <c r="J993" s="12" t="n"/>
      <c r="K993" s="12" t="n"/>
      <c r="L993" s="12" t="n"/>
      <c r="M993" s="15"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row>
    <row r="994">
      <c r="A994" s="9" t="n"/>
      <c r="B994" s="9" t="n"/>
      <c r="C994" s="9" t="n"/>
      <c r="D994" s="9" t="n"/>
      <c r="E994" s="9" t="n"/>
      <c r="F994" s="9" t="n"/>
      <c r="G994" s="9" t="n"/>
      <c r="H994" s="9" t="n"/>
      <c r="I994" s="9" t="n"/>
      <c r="J994" s="9" t="n"/>
      <c r="K994" s="9" t="n"/>
      <c r="L994" s="9" t="n"/>
      <c r="M994" s="16"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row>
    <row r="995">
      <c r="A995" s="12" t="n"/>
      <c r="B995" s="12" t="n"/>
      <c r="C995" s="12" t="n"/>
      <c r="D995" s="12" t="n"/>
      <c r="E995" s="12" t="n"/>
      <c r="F995" s="12" t="n"/>
      <c r="G995" s="12" t="n"/>
      <c r="H995" s="12" t="n"/>
      <c r="I995" s="12" t="n"/>
      <c r="J995" s="12" t="n"/>
      <c r="K995" s="12" t="n"/>
      <c r="L995" s="12" t="n"/>
      <c r="M995" s="15"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row>
    <row r="996">
      <c r="A996" s="9" t="n"/>
      <c r="B996" s="9" t="n"/>
      <c r="C996" s="9" t="n"/>
      <c r="D996" s="9" t="n"/>
      <c r="E996" s="9" t="n"/>
      <c r="F996" s="9" t="n"/>
      <c r="G996" s="9" t="n"/>
      <c r="H996" s="9" t="n"/>
      <c r="I996" s="9" t="n"/>
      <c r="J996" s="9" t="n"/>
      <c r="K996" s="9" t="n"/>
      <c r="L996" s="9" t="n"/>
      <c r="M996" s="16"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row>
    <row r="997">
      <c r="A997" s="12" t="n"/>
      <c r="B997" s="12" t="n"/>
      <c r="C997" s="12" t="n"/>
      <c r="D997" s="12" t="n"/>
      <c r="E997" s="12" t="n"/>
      <c r="F997" s="12" t="n"/>
      <c r="G997" s="12" t="n"/>
      <c r="H997" s="12" t="n"/>
      <c r="I997" s="12" t="n"/>
      <c r="J997" s="12" t="n"/>
      <c r="K997" s="12" t="n"/>
      <c r="L997" s="12" t="n"/>
      <c r="M997" s="15"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row>
    <row r="998">
      <c r="A998" s="9" t="n"/>
      <c r="B998" s="9" t="n"/>
      <c r="C998" s="9" t="n"/>
      <c r="D998" s="9" t="n"/>
      <c r="E998" s="9" t="n"/>
      <c r="F998" s="9" t="n"/>
      <c r="G998" s="9" t="n"/>
      <c r="H998" s="9" t="n"/>
      <c r="I998" s="9" t="n"/>
      <c r="J998" s="9" t="n"/>
      <c r="K998" s="9" t="n"/>
      <c r="L998" s="9" t="n"/>
      <c r="M998" s="16"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row>
    <row r="999">
      <c r="A999" s="12" t="n"/>
      <c r="B999" s="12" t="n"/>
      <c r="C999" s="12" t="n"/>
      <c r="D999" s="12" t="n"/>
      <c r="E999" s="12" t="n"/>
      <c r="F999" s="12" t="n"/>
      <c r="G999" s="12" t="n"/>
      <c r="H999" s="12" t="n"/>
      <c r="I999" s="12" t="n"/>
      <c r="J999" s="12" t="n"/>
      <c r="K999" s="12" t="n"/>
      <c r="L999" s="12" t="n"/>
      <c r="M999" s="15"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row>
    <row r="1000">
      <c r="A1000" s="9" t="n"/>
      <c r="B1000" s="9" t="n"/>
      <c r="C1000" s="9" t="n"/>
      <c r="D1000" s="9" t="n"/>
      <c r="E1000" s="9" t="n"/>
      <c r="F1000" s="9" t="n"/>
      <c r="G1000" s="9" t="n"/>
      <c r="H1000" s="9" t="n"/>
      <c r="I1000" s="9" t="n"/>
      <c r="J1000" s="9" t="n"/>
      <c r="K1000" s="9" t="n"/>
      <c r="L1000" s="9" t="n"/>
      <c r="M1000" s="16"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row>
    <row r="1001">
      <c r="A1001" s="12" t="n"/>
      <c r="B1001" s="12" t="n"/>
      <c r="C1001" s="12" t="n"/>
      <c r="D1001" s="12" t="n"/>
      <c r="E1001" s="12" t="n"/>
      <c r="F1001" s="12" t="n"/>
      <c r="G1001" s="12" t="n"/>
      <c r="H1001" s="12" t="n"/>
      <c r="I1001" s="12" t="n"/>
      <c r="J1001" s="12" t="n"/>
      <c r="K1001" s="12" t="n"/>
      <c r="L1001" s="12" t="n"/>
      <c r="M1001" s="15" t="n"/>
      <c r="N1001" s="12" t="n"/>
      <c r="O1001" s="12" t="n"/>
      <c r="P1001" s="12" t="n"/>
      <c r="Q1001" s="12" t="n"/>
      <c r="R1001" s="12" t="n"/>
      <c r="S1001" s="12" t="n"/>
      <c r="T1001" s="12" t="n"/>
      <c r="U1001" s="12" t="n"/>
      <c r="V1001" s="12" t="n"/>
      <c r="W1001" s="12" t="n"/>
      <c r="X1001" s="12" t="n"/>
      <c r="Y1001" s="12" t="n"/>
      <c r="Z1001" s="12" t="n"/>
      <c r="AA1001" s="12" t="n"/>
      <c r="AB1001" s="12" t="n"/>
      <c r="AC1001" s="12" t="n"/>
      <c r="AD1001" s="12" t="n"/>
      <c r="AE1001" s="12" t="n"/>
      <c r="AF1001" s="12" t="n"/>
      <c r="AG1001" s="12" t="n"/>
      <c r="AH1001" s="12" t="n"/>
      <c r="AI1001" s="12" t="n"/>
      <c r="AJ1001" s="12" t="n"/>
      <c r="AK1001" s="12" t="n"/>
      <c r="AL1001" s="12" t="n"/>
      <c r="AM1001" s="12" t="n"/>
    </row>
    <row r="1002">
      <c r="A1002" s="9" t="n"/>
      <c r="B1002" s="9" t="n"/>
      <c r="C1002" s="9" t="n"/>
      <c r="D1002" s="9" t="n"/>
      <c r="E1002" s="9" t="n"/>
      <c r="F1002" s="9" t="n"/>
      <c r="G1002" s="9" t="n"/>
      <c r="H1002" s="9" t="n"/>
      <c r="I1002" s="9" t="n"/>
      <c r="J1002" s="9" t="n"/>
      <c r="K1002" s="9" t="n"/>
      <c r="L1002" s="9" t="n"/>
      <c r="M1002" s="16" t="n"/>
      <c r="N1002" s="9" t="n"/>
      <c r="O1002" s="9" t="n"/>
      <c r="P1002" s="9" t="n"/>
      <c r="Q1002" s="9" t="n"/>
      <c r="R1002" s="9" t="n"/>
      <c r="S1002" s="9" t="n"/>
      <c r="T1002" s="9" t="n"/>
      <c r="U1002" s="9" t="n"/>
      <c r="V1002" s="9" t="n"/>
      <c r="W1002" s="9" t="n"/>
      <c r="X1002" s="9" t="n"/>
      <c r="Y1002" s="9" t="n"/>
      <c r="Z1002" s="9" t="n"/>
      <c r="AA1002" s="9" t="n"/>
      <c r="AB1002" s="9" t="n"/>
      <c r="AC1002" s="9" t="n"/>
      <c r="AD1002" s="9" t="n"/>
      <c r="AE1002" s="9" t="n"/>
      <c r="AF1002" s="9" t="n"/>
      <c r="AG1002" s="9" t="n"/>
      <c r="AH1002" s="9" t="n"/>
      <c r="AI1002" s="9" t="n"/>
      <c r="AJ1002" s="9" t="n"/>
      <c r="AK1002" s="9" t="n"/>
      <c r="AL1002" s="9" t="n"/>
      <c r="AM1002" s="9" t="n"/>
    </row>
    <row r="1003">
      <c r="A1003" s="12" t="n"/>
      <c r="B1003" s="12" t="n"/>
      <c r="C1003" s="12" t="n"/>
      <c r="D1003" s="12" t="n"/>
      <c r="E1003" s="12" t="n"/>
      <c r="F1003" s="12" t="n"/>
      <c r="G1003" s="12" t="n"/>
      <c r="H1003" s="12" t="n"/>
      <c r="I1003" s="12" t="n"/>
      <c r="J1003" s="12" t="n"/>
      <c r="K1003" s="12" t="n"/>
      <c r="L1003" s="12" t="n"/>
      <c r="M1003" s="15" t="n"/>
      <c r="N1003" s="12" t="n"/>
      <c r="O1003" s="12" t="n"/>
      <c r="P1003" s="12" t="n"/>
      <c r="Q1003" s="12" t="n"/>
      <c r="R1003" s="12" t="n"/>
      <c r="S1003" s="12" t="n"/>
      <c r="T1003" s="12" t="n"/>
      <c r="U1003" s="12" t="n"/>
      <c r="V1003" s="12" t="n"/>
      <c r="W1003" s="12" t="n"/>
      <c r="X1003" s="12" t="n"/>
      <c r="Y1003" s="12" t="n"/>
      <c r="Z1003" s="12" t="n"/>
      <c r="AA1003" s="12" t="n"/>
      <c r="AB1003" s="12" t="n"/>
      <c r="AC1003" s="12" t="n"/>
      <c r="AD1003" s="12" t="n"/>
      <c r="AE1003" s="12" t="n"/>
      <c r="AF1003" s="12" t="n"/>
      <c r="AG1003" s="12" t="n"/>
      <c r="AH1003" s="12" t="n"/>
      <c r="AI1003" s="12" t="n"/>
      <c r="AJ1003" s="12" t="n"/>
      <c r="AK1003" s="12" t="n"/>
      <c r="AL1003" s="12" t="n"/>
      <c r="AM1003" s="12" t="n"/>
    </row>
    <row r="1004">
      <c r="A1004" s="9" t="n"/>
      <c r="B1004" s="9" t="n"/>
      <c r="C1004" s="9" t="n"/>
      <c r="D1004" s="9" t="n"/>
      <c r="E1004" s="9" t="n"/>
      <c r="F1004" s="9" t="n"/>
      <c r="G1004" s="9" t="n"/>
      <c r="H1004" s="9" t="n"/>
      <c r="I1004" s="9" t="n"/>
      <c r="J1004" s="9" t="n"/>
      <c r="K1004" s="9" t="n"/>
      <c r="L1004" s="9" t="n"/>
      <c r="M1004" s="16" t="n"/>
      <c r="N1004" s="9" t="n"/>
      <c r="O1004" s="9" t="n"/>
      <c r="P1004" s="9" t="n"/>
      <c r="Q1004" s="9" t="n"/>
      <c r="R1004" s="9" t="n"/>
      <c r="S1004" s="9" t="n"/>
      <c r="T1004" s="9" t="n"/>
      <c r="U1004" s="9" t="n"/>
      <c r="V1004" s="9" t="n"/>
      <c r="W1004" s="9" t="n"/>
      <c r="X1004" s="9" t="n"/>
      <c r="Y1004" s="9" t="n"/>
      <c r="Z1004" s="9" t="n"/>
      <c r="AA1004" s="9" t="n"/>
      <c r="AB1004" s="9" t="n"/>
      <c r="AC1004" s="9" t="n"/>
      <c r="AD1004" s="9" t="n"/>
      <c r="AE1004" s="9" t="n"/>
      <c r="AF1004" s="9" t="n"/>
      <c r="AG1004" s="9" t="n"/>
      <c r="AH1004" s="9" t="n"/>
      <c r="AI1004" s="9" t="n"/>
      <c r="AJ1004" s="9" t="n"/>
      <c r="AK1004" s="9" t="n"/>
      <c r="AL1004" s="9" t="n"/>
      <c r="AM1004" s="9" t="n"/>
    </row>
    <row r="1005">
      <c r="A1005" s="12" t="n"/>
      <c r="B1005" s="12" t="n"/>
      <c r="C1005" s="12" t="n"/>
      <c r="D1005" s="12" t="n"/>
      <c r="E1005" s="12" t="n"/>
      <c r="F1005" s="12" t="n"/>
      <c r="G1005" s="12" t="n"/>
      <c r="H1005" s="12" t="n"/>
      <c r="I1005" s="12" t="n"/>
      <c r="J1005" s="12" t="n"/>
      <c r="K1005" s="12" t="n"/>
      <c r="L1005" s="12" t="n"/>
      <c r="M1005" s="15" t="n"/>
      <c r="N1005" s="12" t="n"/>
      <c r="O1005" s="12" t="n"/>
      <c r="P1005" s="12" t="n"/>
      <c r="Q1005" s="12" t="n"/>
      <c r="R1005" s="12" t="n"/>
      <c r="S1005" s="12" t="n"/>
      <c r="T1005" s="12" t="n"/>
      <c r="U1005" s="12" t="n"/>
      <c r="V1005" s="12" t="n"/>
      <c r="W1005" s="12" t="n"/>
      <c r="X1005" s="12" t="n"/>
      <c r="Y1005" s="12" t="n"/>
      <c r="Z1005" s="12" t="n"/>
      <c r="AA1005" s="12" t="n"/>
      <c r="AB1005" s="12" t="n"/>
      <c r="AC1005" s="12" t="n"/>
      <c r="AD1005" s="12" t="n"/>
      <c r="AE1005" s="12" t="n"/>
      <c r="AF1005" s="12" t="n"/>
      <c r="AG1005" s="12" t="n"/>
      <c r="AH1005" s="12" t="n"/>
      <c r="AI1005" s="12" t="n"/>
      <c r="AJ1005" s="12" t="n"/>
      <c r="AK1005" s="12" t="n"/>
      <c r="AL1005" s="12" t="n"/>
      <c r="AM1005" s="12" t="n"/>
    </row>
    <row r="1006">
      <c r="A1006" s="9" t="n"/>
      <c r="B1006" s="9" t="n"/>
      <c r="C1006" s="9" t="n"/>
      <c r="D1006" s="9" t="n"/>
      <c r="E1006" s="9" t="n"/>
      <c r="F1006" s="9" t="n"/>
      <c r="G1006" s="9" t="n"/>
      <c r="H1006" s="9" t="n"/>
      <c r="I1006" s="9" t="n"/>
      <c r="J1006" s="9" t="n"/>
      <c r="K1006" s="9" t="n"/>
      <c r="L1006" s="9" t="n"/>
      <c r="M1006" s="16" t="n"/>
      <c r="N1006" s="9" t="n"/>
      <c r="O1006" s="9" t="n"/>
      <c r="P1006" s="9" t="n"/>
      <c r="Q1006" s="9" t="n"/>
      <c r="R1006" s="9" t="n"/>
      <c r="S1006" s="9" t="n"/>
      <c r="T1006" s="9" t="n"/>
      <c r="U1006" s="9" t="n"/>
      <c r="V1006" s="9" t="n"/>
      <c r="W1006" s="9" t="n"/>
      <c r="X1006" s="9" t="n"/>
      <c r="Y1006" s="9" t="n"/>
      <c r="Z1006" s="9" t="n"/>
      <c r="AA1006" s="9" t="n"/>
      <c r="AB1006" s="9" t="n"/>
      <c r="AC1006" s="9" t="n"/>
      <c r="AD1006" s="9" t="n"/>
      <c r="AE1006" s="9" t="n"/>
      <c r="AF1006" s="9" t="n"/>
      <c r="AG1006" s="9" t="n"/>
      <c r="AH1006" s="9" t="n"/>
      <c r="AI1006" s="9" t="n"/>
      <c r="AJ1006" s="9" t="n"/>
      <c r="AK1006" s="9" t="n"/>
      <c r="AL1006" s="9" t="n"/>
      <c r="AM1006" s="9" t="n"/>
    </row>
    <row r="1007">
      <c r="A1007" s="12" t="n"/>
      <c r="B1007" s="12" t="n"/>
      <c r="C1007" s="12" t="n"/>
      <c r="D1007" s="12" t="n"/>
      <c r="E1007" s="12" t="n"/>
      <c r="F1007" s="12" t="n"/>
      <c r="G1007" s="12" t="n"/>
      <c r="H1007" s="12" t="n"/>
      <c r="I1007" s="12" t="n"/>
      <c r="J1007" s="12" t="n"/>
      <c r="K1007" s="12" t="n"/>
      <c r="L1007" s="12" t="n"/>
      <c r="M1007" s="15" t="n"/>
      <c r="N1007" s="12" t="n"/>
      <c r="O1007" s="12" t="n"/>
      <c r="P1007" s="12" t="n"/>
      <c r="Q1007" s="12" t="n"/>
      <c r="R1007" s="12" t="n"/>
      <c r="S1007" s="12" t="n"/>
      <c r="T1007" s="12" t="n"/>
      <c r="U1007" s="12" t="n"/>
      <c r="V1007" s="12" t="n"/>
      <c r="W1007" s="12" t="n"/>
      <c r="X1007" s="12" t="n"/>
      <c r="Y1007" s="12" t="n"/>
      <c r="Z1007" s="12" t="n"/>
      <c r="AA1007" s="12" t="n"/>
      <c r="AB1007" s="12" t="n"/>
      <c r="AC1007" s="12" t="n"/>
      <c r="AD1007" s="12" t="n"/>
      <c r="AE1007" s="12" t="n"/>
      <c r="AF1007" s="12" t="n"/>
      <c r="AG1007" s="12" t="n"/>
      <c r="AH1007" s="12" t="n"/>
      <c r="AI1007" s="12" t="n"/>
      <c r="AJ1007" s="12" t="n"/>
      <c r="AK1007" s="12" t="n"/>
      <c r="AL1007" s="12" t="n"/>
      <c r="AM1007" s="12" t="n"/>
    </row>
    <row r="1008">
      <c r="A1008" s="9" t="n"/>
      <c r="B1008" s="9" t="n"/>
      <c r="C1008" s="9" t="n"/>
      <c r="D1008" s="9" t="n"/>
      <c r="E1008" s="9" t="n"/>
      <c r="F1008" s="9" t="n"/>
      <c r="G1008" s="9" t="n"/>
      <c r="H1008" s="9" t="n"/>
      <c r="I1008" s="9" t="n"/>
      <c r="J1008" s="9" t="n"/>
      <c r="K1008" s="9" t="n"/>
      <c r="L1008" s="9" t="n"/>
      <c r="M1008" s="16" t="n"/>
      <c r="N1008" s="9" t="n"/>
      <c r="O1008" s="9" t="n"/>
      <c r="P1008" s="9" t="n"/>
      <c r="Q1008" s="9" t="n"/>
      <c r="R1008" s="9" t="n"/>
      <c r="S1008" s="9" t="n"/>
      <c r="T1008" s="9" t="n"/>
      <c r="U1008" s="9" t="n"/>
      <c r="V1008" s="9" t="n"/>
      <c r="W1008" s="9" t="n"/>
      <c r="X1008" s="9" t="n"/>
      <c r="Y1008" s="9" t="n"/>
      <c r="Z1008" s="9" t="n"/>
      <c r="AA1008" s="9" t="n"/>
      <c r="AB1008" s="9" t="n"/>
      <c r="AC1008" s="9" t="n"/>
      <c r="AD1008" s="9" t="n"/>
      <c r="AE1008" s="9" t="n"/>
      <c r="AF1008" s="9" t="n"/>
      <c r="AG1008" s="9" t="n"/>
      <c r="AH1008" s="9" t="n"/>
      <c r="AI1008" s="9" t="n"/>
      <c r="AJ1008" s="9" t="n"/>
      <c r="AK1008" s="9" t="n"/>
      <c r="AL1008" s="9" t="n"/>
      <c r="AM1008" s="9" t="n"/>
    </row>
    <row r="1009">
      <c r="A1009" s="12" t="n"/>
      <c r="B1009" s="12" t="n"/>
      <c r="C1009" s="12" t="n"/>
      <c r="D1009" s="12" t="n"/>
      <c r="E1009" s="12" t="n"/>
      <c r="F1009" s="12" t="n"/>
      <c r="G1009" s="12" t="n"/>
      <c r="H1009" s="12" t="n"/>
      <c r="I1009" s="12" t="n"/>
      <c r="J1009" s="12" t="n"/>
      <c r="K1009" s="12" t="n"/>
      <c r="L1009" s="12" t="n"/>
      <c r="M1009" s="15" t="n"/>
      <c r="N1009" s="12" t="n"/>
      <c r="O1009" s="12" t="n"/>
      <c r="P1009" s="12" t="n"/>
      <c r="Q1009" s="12" t="n"/>
      <c r="R1009" s="12" t="n"/>
      <c r="S1009" s="12" t="n"/>
      <c r="T1009" s="12" t="n"/>
      <c r="U1009" s="12" t="n"/>
      <c r="V1009" s="12" t="n"/>
      <c r="W1009" s="12" t="n"/>
      <c r="X1009" s="12" t="n"/>
      <c r="Y1009" s="12" t="n"/>
      <c r="Z1009" s="12" t="n"/>
      <c r="AA1009" s="12" t="n"/>
      <c r="AB1009" s="12" t="n"/>
      <c r="AC1009" s="12" t="n"/>
      <c r="AD1009" s="12" t="n"/>
      <c r="AE1009" s="12" t="n"/>
      <c r="AF1009" s="12" t="n"/>
      <c r="AG1009" s="12" t="n"/>
      <c r="AH1009" s="12" t="n"/>
      <c r="AI1009" s="12" t="n"/>
      <c r="AJ1009" s="12" t="n"/>
      <c r="AK1009" s="12" t="n"/>
      <c r="AL1009" s="12" t="n"/>
      <c r="AM1009" s="12" t="n"/>
    </row>
    <row r="1010">
      <c r="A1010" s="9" t="n"/>
      <c r="B1010" s="9" t="n"/>
      <c r="C1010" s="9" t="n"/>
      <c r="D1010" s="9" t="n"/>
      <c r="E1010" s="9" t="n"/>
      <c r="F1010" s="9" t="n"/>
      <c r="G1010" s="9" t="n"/>
      <c r="H1010" s="9" t="n"/>
      <c r="I1010" s="9" t="n"/>
      <c r="J1010" s="9" t="n"/>
      <c r="K1010" s="9" t="n"/>
      <c r="L1010" s="9" t="n"/>
      <c r="M1010" s="16" t="n"/>
      <c r="N1010" s="9" t="n"/>
      <c r="O1010" s="9" t="n"/>
      <c r="P1010" s="9" t="n"/>
      <c r="Q1010" s="9" t="n"/>
      <c r="R1010" s="9" t="n"/>
      <c r="S1010" s="9" t="n"/>
      <c r="T1010" s="9" t="n"/>
      <c r="U1010" s="9" t="n"/>
      <c r="V1010" s="9" t="n"/>
      <c r="W1010" s="9" t="n"/>
      <c r="X1010" s="9" t="n"/>
      <c r="Y1010" s="9" t="n"/>
      <c r="Z1010" s="9" t="n"/>
      <c r="AA1010" s="9" t="n"/>
      <c r="AB1010" s="9" t="n"/>
      <c r="AC1010" s="9" t="n"/>
      <c r="AD1010" s="9" t="n"/>
      <c r="AE1010" s="9" t="n"/>
      <c r="AF1010" s="9" t="n"/>
      <c r="AG1010" s="9" t="n"/>
      <c r="AH1010" s="9" t="n"/>
      <c r="AI1010" s="9" t="n"/>
      <c r="AJ1010" s="9" t="n"/>
      <c r="AK1010" s="9" t="n"/>
      <c r="AL1010" s="9" t="n"/>
      <c r="AM1010" s="9" t="n"/>
    </row>
    <row r="1011">
      <c r="A1011" s="12" t="n"/>
      <c r="B1011" s="12" t="n"/>
      <c r="C1011" s="12" t="n"/>
      <c r="D1011" s="12" t="n"/>
      <c r="E1011" s="12" t="n"/>
      <c r="F1011" s="12" t="n"/>
      <c r="G1011" s="12" t="n"/>
      <c r="H1011" s="12" t="n"/>
      <c r="I1011" s="12" t="n"/>
      <c r="J1011" s="12" t="n"/>
      <c r="K1011" s="12" t="n"/>
      <c r="L1011" s="12" t="n"/>
      <c r="M1011" s="15" t="n"/>
      <c r="N1011" s="12" t="n"/>
      <c r="O1011" s="12" t="n"/>
      <c r="P1011" s="12" t="n"/>
      <c r="Q1011" s="12" t="n"/>
      <c r="R1011" s="12" t="n"/>
      <c r="S1011" s="12" t="n"/>
      <c r="T1011" s="12" t="n"/>
      <c r="U1011" s="12" t="n"/>
      <c r="V1011" s="12" t="n"/>
      <c r="W1011" s="12" t="n"/>
      <c r="X1011" s="12" t="n"/>
      <c r="Y1011" s="12" t="n"/>
      <c r="Z1011" s="12" t="n"/>
      <c r="AA1011" s="12" t="n"/>
      <c r="AB1011" s="12" t="n"/>
      <c r="AC1011" s="12" t="n"/>
      <c r="AD1011" s="12" t="n"/>
      <c r="AE1011" s="12" t="n"/>
      <c r="AF1011" s="12" t="n"/>
      <c r="AG1011" s="12" t="n"/>
      <c r="AH1011" s="12" t="n"/>
      <c r="AI1011" s="12" t="n"/>
      <c r="AJ1011" s="12" t="n"/>
      <c r="AK1011" s="12" t="n"/>
      <c r="AL1011" s="12" t="n"/>
      <c r="AM1011" s="12" t="n"/>
    </row>
    <row r="1012">
      <c r="A1012" s="9" t="n"/>
      <c r="B1012" s="9" t="n"/>
      <c r="C1012" s="9" t="n"/>
      <c r="D1012" s="9" t="n"/>
      <c r="E1012" s="9" t="n"/>
      <c r="F1012" s="9" t="n"/>
      <c r="G1012" s="9" t="n"/>
      <c r="H1012" s="9" t="n"/>
      <c r="I1012" s="9" t="n"/>
      <c r="J1012" s="9" t="n"/>
      <c r="K1012" s="9" t="n"/>
      <c r="L1012" s="9" t="n"/>
      <c r="M1012" s="16" t="n"/>
      <c r="N1012" s="9" t="n"/>
      <c r="O1012" s="9" t="n"/>
      <c r="P1012" s="9" t="n"/>
      <c r="Q1012" s="9" t="n"/>
      <c r="R1012" s="9" t="n"/>
      <c r="S1012" s="9" t="n"/>
      <c r="T1012" s="9" t="n"/>
      <c r="U1012" s="9" t="n"/>
      <c r="V1012" s="9" t="n"/>
      <c r="W1012" s="9" t="n"/>
      <c r="X1012" s="9" t="n"/>
      <c r="Y1012" s="9" t="n"/>
      <c r="Z1012" s="9" t="n"/>
      <c r="AA1012" s="9" t="n"/>
      <c r="AB1012" s="9" t="n"/>
      <c r="AC1012" s="9" t="n"/>
      <c r="AD1012" s="9" t="n"/>
      <c r="AE1012" s="9" t="n"/>
      <c r="AF1012" s="9" t="n"/>
      <c r="AG1012" s="9" t="n"/>
      <c r="AH1012" s="9" t="n"/>
      <c r="AI1012" s="9" t="n"/>
      <c r="AJ1012" s="9" t="n"/>
      <c r="AK1012" s="9" t="n"/>
      <c r="AL1012" s="9" t="n"/>
      <c r="AM1012" s="9" t="n"/>
    </row>
    <row r="1013">
      <c r="A1013" s="12" t="n"/>
      <c r="B1013" s="12" t="n"/>
      <c r="C1013" s="12" t="n"/>
      <c r="D1013" s="12" t="n"/>
      <c r="E1013" s="12" t="n"/>
      <c r="F1013" s="12" t="n"/>
      <c r="G1013" s="12" t="n"/>
      <c r="H1013" s="12" t="n"/>
      <c r="I1013" s="12" t="n"/>
      <c r="J1013" s="12" t="n"/>
      <c r="K1013" s="12" t="n"/>
      <c r="L1013" s="12" t="n"/>
      <c r="M1013" s="15" t="n"/>
      <c r="N1013" s="12" t="n"/>
      <c r="O1013" s="12" t="n"/>
      <c r="P1013" s="12" t="n"/>
      <c r="Q1013" s="12" t="n"/>
      <c r="R1013" s="12" t="n"/>
      <c r="S1013" s="12" t="n"/>
      <c r="T1013" s="12" t="n"/>
      <c r="U1013" s="12" t="n"/>
      <c r="V1013" s="12" t="n"/>
      <c r="W1013" s="12" t="n"/>
      <c r="X1013" s="12" t="n"/>
      <c r="Y1013" s="12" t="n"/>
      <c r="Z1013" s="12" t="n"/>
      <c r="AA1013" s="12" t="n"/>
      <c r="AB1013" s="12" t="n"/>
      <c r="AC1013" s="12" t="n"/>
      <c r="AD1013" s="12" t="n"/>
      <c r="AE1013" s="12" t="n"/>
      <c r="AF1013" s="12" t="n"/>
      <c r="AG1013" s="12" t="n"/>
      <c r="AH1013" s="12" t="n"/>
      <c r="AI1013" s="12" t="n"/>
      <c r="AJ1013" s="12" t="n"/>
      <c r="AK1013" s="12" t="n"/>
      <c r="AL1013" s="12" t="n"/>
      <c r="AM1013" s="12" t="n"/>
    </row>
    <row r="1014">
      <c r="A1014" s="9" t="n"/>
      <c r="B1014" s="9" t="n"/>
      <c r="C1014" s="9" t="n"/>
      <c r="D1014" s="9" t="n"/>
      <c r="E1014" s="9" t="n"/>
      <c r="F1014" s="9" t="n"/>
      <c r="G1014" s="9" t="n"/>
      <c r="H1014" s="9" t="n"/>
      <c r="I1014" s="9" t="n"/>
      <c r="J1014" s="9" t="n"/>
      <c r="K1014" s="9" t="n"/>
      <c r="L1014" s="9" t="n"/>
      <c r="M1014" s="16" t="n"/>
      <c r="N1014" s="9" t="n"/>
      <c r="O1014" s="9" t="n"/>
      <c r="P1014" s="9" t="n"/>
      <c r="Q1014" s="9" t="n"/>
      <c r="R1014" s="9" t="n"/>
      <c r="S1014" s="9" t="n"/>
      <c r="T1014" s="9" t="n"/>
      <c r="U1014" s="9" t="n"/>
      <c r="V1014" s="9" t="n"/>
      <c r="W1014" s="9" t="n"/>
      <c r="X1014" s="9" t="n"/>
      <c r="Y1014" s="9" t="n"/>
      <c r="Z1014" s="9" t="n"/>
      <c r="AA1014" s="9" t="n"/>
      <c r="AB1014" s="9" t="n"/>
      <c r="AC1014" s="9" t="n"/>
      <c r="AD1014" s="9" t="n"/>
      <c r="AE1014" s="9" t="n"/>
      <c r="AF1014" s="9" t="n"/>
      <c r="AG1014" s="9" t="n"/>
      <c r="AH1014" s="9" t="n"/>
      <c r="AI1014" s="9" t="n"/>
      <c r="AJ1014" s="9" t="n"/>
      <c r="AK1014" s="9" t="n"/>
      <c r="AL1014" s="9" t="n"/>
      <c r="AM1014" s="9" t="n"/>
    </row>
    <row r="1015">
      <c r="A1015" s="12" t="n"/>
      <c r="B1015" s="12" t="n"/>
      <c r="C1015" s="12" t="n"/>
      <c r="D1015" s="12" t="n"/>
      <c r="E1015" s="12" t="n"/>
      <c r="F1015" s="12" t="n"/>
      <c r="G1015" s="12" t="n"/>
      <c r="H1015" s="12" t="n"/>
      <c r="I1015" s="12" t="n"/>
      <c r="J1015" s="12" t="n"/>
      <c r="K1015" s="12" t="n"/>
      <c r="L1015" s="12" t="n"/>
      <c r="M1015" s="15" t="n"/>
      <c r="N1015" s="12" t="n"/>
      <c r="O1015" s="12" t="n"/>
      <c r="P1015" s="12" t="n"/>
      <c r="Q1015" s="12" t="n"/>
      <c r="R1015" s="12" t="n"/>
      <c r="S1015" s="12" t="n"/>
      <c r="T1015" s="12" t="n"/>
      <c r="U1015" s="12" t="n"/>
      <c r="V1015" s="12" t="n"/>
      <c r="W1015" s="12" t="n"/>
      <c r="X1015" s="12" t="n"/>
      <c r="Y1015" s="12" t="n"/>
      <c r="Z1015" s="12" t="n"/>
      <c r="AA1015" s="12" t="n"/>
      <c r="AB1015" s="12" t="n"/>
      <c r="AC1015" s="12" t="n"/>
      <c r="AD1015" s="12" t="n"/>
      <c r="AE1015" s="12" t="n"/>
      <c r="AF1015" s="12" t="n"/>
      <c r="AG1015" s="12" t="n"/>
      <c r="AH1015" s="12" t="n"/>
      <c r="AI1015" s="12" t="n"/>
      <c r="AJ1015" s="12" t="n"/>
      <c r="AK1015" s="12" t="n"/>
      <c r="AL1015" s="12" t="n"/>
      <c r="AM1015" s="12" t="n"/>
    </row>
    <row r="1016">
      <c r="A1016" s="9" t="n"/>
      <c r="B1016" s="9" t="n"/>
      <c r="C1016" s="9" t="n"/>
      <c r="D1016" s="9" t="n"/>
      <c r="E1016" s="9" t="n"/>
      <c r="F1016" s="9" t="n"/>
      <c r="G1016" s="9" t="n"/>
      <c r="H1016" s="9" t="n"/>
      <c r="I1016" s="9" t="n"/>
      <c r="J1016" s="9" t="n"/>
      <c r="K1016" s="9" t="n"/>
      <c r="L1016" s="9" t="n"/>
      <c r="M1016" s="16" t="n"/>
      <c r="N1016" s="9" t="n"/>
      <c r="O1016" s="9" t="n"/>
      <c r="P1016" s="9" t="n"/>
      <c r="Q1016" s="9" t="n"/>
      <c r="R1016" s="9" t="n"/>
      <c r="S1016" s="9" t="n"/>
      <c r="T1016" s="9" t="n"/>
      <c r="U1016" s="9" t="n"/>
      <c r="V1016" s="9" t="n"/>
      <c r="W1016" s="9" t="n"/>
      <c r="X1016" s="9" t="n"/>
      <c r="Y1016" s="9" t="n"/>
      <c r="Z1016" s="9" t="n"/>
      <c r="AA1016" s="9" t="n"/>
      <c r="AB1016" s="9" t="n"/>
      <c r="AC1016" s="9" t="n"/>
      <c r="AD1016" s="9" t="n"/>
      <c r="AE1016" s="9" t="n"/>
      <c r="AF1016" s="9" t="n"/>
      <c r="AG1016" s="9" t="n"/>
      <c r="AH1016" s="9" t="n"/>
      <c r="AI1016" s="9" t="n"/>
      <c r="AJ1016" s="9" t="n"/>
      <c r="AK1016" s="9" t="n"/>
      <c r="AL1016" s="9" t="n"/>
      <c r="AM1016" s="9" t="n"/>
    </row>
    <row r="1017">
      <c r="A1017" s="12" t="n"/>
      <c r="B1017" s="12" t="n"/>
      <c r="C1017" s="12" t="n"/>
      <c r="D1017" s="12" t="n"/>
      <c r="E1017" s="12" t="n"/>
      <c r="F1017" s="12" t="n"/>
      <c r="G1017" s="12" t="n"/>
      <c r="H1017" s="12" t="n"/>
      <c r="I1017" s="12" t="n"/>
      <c r="J1017" s="12" t="n"/>
      <c r="K1017" s="12" t="n"/>
      <c r="L1017" s="12" t="n"/>
      <c r="M1017" s="15" t="n"/>
      <c r="N1017" s="12" t="n"/>
      <c r="O1017" s="12" t="n"/>
      <c r="P1017" s="12" t="n"/>
      <c r="Q1017" s="12" t="n"/>
      <c r="R1017" s="12" t="n"/>
      <c r="S1017" s="12" t="n"/>
      <c r="T1017" s="12" t="n"/>
      <c r="U1017" s="12" t="n"/>
      <c r="V1017" s="12" t="n"/>
      <c r="W1017" s="12" t="n"/>
      <c r="X1017" s="12" t="n"/>
      <c r="Y1017" s="12" t="n"/>
      <c r="Z1017" s="12" t="n"/>
      <c r="AA1017" s="12" t="n"/>
      <c r="AB1017" s="12" t="n"/>
      <c r="AC1017" s="12" t="n"/>
      <c r="AD1017" s="12" t="n"/>
      <c r="AE1017" s="12" t="n"/>
      <c r="AF1017" s="12" t="n"/>
      <c r="AG1017" s="12" t="n"/>
      <c r="AH1017" s="12" t="n"/>
      <c r="AI1017" s="12" t="n"/>
      <c r="AJ1017" s="12" t="n"/>
      <c r="AK1017" s="12" t="n"/>
      <c r="AL1017" s="12" t="n"/>
      <c r="AM1017" s="12" t="n"/>
    </row>
    <row r="1018">
      <c r="A1018" s="9" t="n"/>
      <c r="B1018" s="9" t="n"/>
      <c r="C1018" s="9" t="n"/>
      <c r="D1018" s="9" t="n"/>
      <c r="E1018" s="9" t="n"/>
      <c r="F1018" s="9" t="n"/>
      <c r="G1018" s="9" t="n"/>
      <c r="H1018" s="9" t="n"/>
      <c r="I1018" s="9" t="n"/>
      <c r="J1018" s="9" t="n"/>
      <c r="K1018" s="9" t="n"/>
      <c r="L1018" s="9" t="n"/>
      <c r="M1018" s="16" t="n"/>
      <c r="N1018" s="9" t="n"/>
      <c r="O1018" s="9" t="n"/>
      <c r="P1018" s="9" t="n"/>
      <c r="Q1018" s="9" t="n"/>
      <c r="R1018" s="9" t="n"/>
      <c r="S1018" s="9" t="n"/>
      <c r="T1018" s="9" t="n"/>
      <c r="U1018" s="9" t="n"/>
      <c r="V1018" s="9" t="n"/>
      <c r="W1018" s="9" t="n"/>
      <c r="X1018" s="9" t="n"/>
      <c r="Y1018" s="9" t="n"/>
      <c r="Z1018" s="9" t="n"/>
      <c r="AA1018" s="9" t="n"/>
      <c r="AB1018" s="9" t="n"/>
      <c r="AC1018" s="9" t="n"/>
      <c r="AD1018" s="9" t="n"/>
      <c r="AE1018" s="9" t="n"/>
      <c r="AF1018" s="9" t="n"/>
      <c r="AG1018" s="9" t="n"/>
      <c r="AH1018" s="9" t="n"/>
      <c r="AI1018" s="9" t="n"/>
      <c r="AJ1018" s="9" t="n"/>
      <c r="AK1018" s="9" t="n"/>
      <c r="AL1018" s="9" t="n"/>
      <c r="AM1018" s="9" t="n"/>
    </row>
    <row r="1019">
      <c r="A1019" s="12" t="n"/>
      <c r="B1019" s="12" t="n"/>
      <c r="C1019" s="12" t="n"/>
      <c r="D1019" s="12" t="n"/>
      <c r="E1019" s="12" t="n"/>
      <c r="F1019" s="12" t="n"/>
      <c r="G1019" s="12" t="n"/>
      <c r="H1019" s="12" t="n"/>
      <c r="I1019" s="12" t="n"/>
      <c r="J1019" s="12" t="n"/>
      <c r="K1019" s="12" t="n"/>
      <c r="L1019" s="12" t="n"/>
      <c r="M1019" s="15" t="n"/>
      <c r="N1019" s="12" t="n"/>
      <c r="O1019" s="12" t="n"/>
      <c r="P1019" s="12" t="n"/>
      <c r="Q1019" s="12" t="n"/>
      <c r="R1019" s="12" t="n"/>
      <c r="S1019" s="12" t="n"/>
      <c r="T1019" s="12" t="n"/>
      <c r="U1019" s="12" t="n"/>
      <c r="V1019" s="12" t="n"/>
      <c r="W1019" s="12" t="n"/>
      <c r="X1019" s="12" t="n"/>
      <c r="Y1019" s="12" t="n"/>
      <c r="Z1019" s="12" t="n"/>
      <c r="AA1019" s="12" t="n"/>
      <c r="AB1019" s="12" t="n"/>
      <c r="AC1019" s="12" t="n"/>
      <c r="AD1019" s="12" t="n"/>
      <c r="AE1019" s="12" t="n"/>
      <c r="AF1019" s="12" t="n"/>
      <c r="AG1019" s="12" t="n"/>
      <c r="AH1019" s="12" t="n"/>
      <c r="AI1019" s="12" t="n"/>
      <c r="AJ1019" s="12" t="n"/>
      <c r="AK1019" s="12" t="n"/>
      <c r="AL1019" s="12" t="n"/>
      <c r="AM1019" s="12" t="n"/>
    </row>
    <row r="1020">
      <c r="A1020" s="9" t="n"/>
      <c r="B1020" s="9" t="n"/>
      <c r="C1020" s="9" t="n"/>
      <c r="D1020" s="9" t="n"/>
      <c r="E1020" s="9" t="n"/>
      <c r="F1020" s="9" t="n"/>
      <c r="G1020" s="9" t="n"/>
      <c r="H1020" s="9" t="n"/>
      <c r="I1020" s="9" t="n"/>
      <c r="J1020" s="9" t="n"/>
      <c r="K1020" s="9" t="n"/>
      <c r="L1020" s="9" t="n"/>
      <c r="M1020" s="16" t="n"/>
      <c r="N1020" s="9" t="n"/>
      <c r="O1020" s="9" t="n"/>
      <c r="P1020" s="9" t="n"/>
      <c r="Q1020" s="9" t="n"/>
      <c r="R1020" s="9" t="n"/>
      <c r="S1020" s="9" t="n"/>
      <c r="T1020" s="9" t="n"/>
      <c r="U1020" s="9" t="n"/>
      <c r="V1020" s="9" t="n"/>
      <c r="W1020" s="9" t="n"/>
      <c r="X1020" s="9" t="n"/>
      <c r="Y1020" s="9" t="n"/>
      <c r="Z1020" s="9" t="n"/>
      <c r="AA1020" s="9" t="n"/>
      <c r="AB1020" s="9" t="n"/>
      <c r="AC1020" s="9" t="n"/>
      <c r="AD1020" s="9" t="n"/>
      <c r="AE1020" s="9" t="n"/>
      <c r="AF1020" s="9" t="n"/>
      <c r="AG1020" s="9" t="n"/>
      <c r="AH1020" s="9" t="n"/>
      <c r="AI1020" s="9" t="n"/>
      <c r="AJ1020" s="9" t="n"/>
      <c r="AK1020" s="9" t="n"/>
      <c r="AL1020" s="9" t="n"/>
      <c r="AM1020" s="9" t="n"/>
    </row>
    <row r="1021">
      <c r="A1021" s="12" t="n"/>
      <c r="B1021" s="12" t="n"/>
      <c r="C1021" s="12" t="n"/>
      <c r="D1021" s="12" t="n"/>
      <c r="E1021" s="12" t="n"/>
      <c r="F1021" s="12" t="n"/>
      <c r="G1021" s="12" t="n"/>
      <c r="H1021" s="12" t="n"/>
      <c r="I1021" s="12" t="n"/>
      <c r="J1021" s="12" t="n"/>
      <c r="K1021" s="12" t="n"/>
      <c r="L1021" s="12" t="n"/>
      <c r="M1021" s="15" t="n"/>
      <c r="N1021" s="12" t="n"/>
      <c r="O1021" s="12" t="n"/>
      <c r="P1021" s="12" t="n"/>
      <c r="Q1021" s="12" t="n"/>
      <c r="R1021" s="12" t="n"/>
      <c r="S1021" s="12" t="n"/>
      <c r="T1021" s="12" t="n"/>
      <c r="U1021" s="12" t="n"/>
      <c r="V1021" s="12" t="n"/>
      <c r="W1021" s="12" t="n"/>
      <c r="X1021" s="12" t="n"/>
      <c r="Y1021" s="12" t="n"/>
      <c r="Z1021" s="12" t="n"/>
      <c r="AA1021" s="12" t="n"/>
      <c r="AB1021" s="12" t="n"/>
      <c r="AC1021" s="12" t="n"/>
      <c r="AD1021" s="12" t="n"/>
      <c r="AE1021" s="12" t="n"/>
      <c r="AF1021" s="12" t="n"/>
      <c r="AG1021" s="12" t="n"/>
      <c r="AH1021" s="12" t="n"/>
      <c r="AI1021" s="12" t="n"/>
      <c r="AJ1021" s="12" t="n"/>
      <c r="AK1021" s="12" t="n"/>
      <c r="AL1021" s="12" t="n"/>
      <c r="AM1021" s="12" t="n"/>
    </row>
    <row r="1022">
      <c r="A1022" s="9" t="n"/>
      <c r="B1022" s="9" t="n"/>
      <c r="C1022" s="9" t="n"/>
      <c r="D1022" s="9" t="n"/>
      <c r="E1022" s="9" t="n"/>
      <c r="F1022" s="9" t="n"/>
      <c r="G1022" s="9" t="n"/>
      <c r="H1022" s="9" t="n"/>
      <c r="I1022" s="9" t="n"/>
      <c r="J1022" s="9" t="n"/>
      <c r="K1022" s="9" t="n"/>
      <c r="L1022" s="9" t="n"/>
      <c r="M1022" s="16" t="n"/>
      <c r="N1022" s="9" t="n"/>
      <c r="O1022" s="9" t="n"/>
      <c r="P1022" s="9" t="n"/>
      <c r="Q1022" s="9" t="n"/>
      <c r="R1022" s="9" t="n"/>
      <c r="S1022" s="9" t="n"/>
      <c r="T1022" s="9" t="n"/>
      <c r="U1022" s="9" t="n"/>
      <c r="V1022" s="9" t="n"/>
      <c r="W1022" s="9" t="n"/>
      <c r="X1022" s="9" t="n"/>
      <c r="Y1022" s="9" t="n"/>
      <c r="Z1022" s="9" t="n"/>
      <c r="AA1022" s="9" t="n"/>
      <c r="AB1022" s="9" t="n"/>
      <c r="AC1022" s="9" t="n"/>
      <c r="AD1022" s="9" t="n"/>
      <c r="AE1022" s="9" t="n"/>
      <c r="AF1022" s="9" t="n"/>
      <c r="AG1022" s="9" t="n"/>
      <c r="AH1022" s="9" t="n"/>
      <c r="AI1022" s="9" t="n"/>
      <c r="AJ1022" s="9" t="n"/>
      <c r="AK1022" s="9" t="n"/>
      <c r="AL1022" s="9" t="n"/>
      <c r="AM1022" s="9" t="n"/>
    </row>
    <row r="1023">
      <c r="A1023" s="12" t="n"/>
      <c r="B1023" s="12" t="n"/>
      <c r="C1023" s="12" t="n"/>
      <c r="D1023" s="12" t="n"/>
      <c r="E1023" s="12" t="n"/>
      <c r="F1023" s="12" t="n"/>
      <c r="G1023" s="12" t="n"/>
      <c r="H1023" s="12" t="n"/>
      <c r="I1023" s="12" t="n"/>
      <c r="J1023" s="12" t="n"/>
      <c r="K1023" s="12" t="n"/>
      <c r="L1023" s="12" t="n"/>
      <c r="M1023" s="15" t="n"/>
      <c r="N1023" s="12" t="n"/>
      <c r="O1023" s="12" t="n"/>
      <c r="P1023" s="12" t="n"/>
      <c r="Q1023" s="12" t="n"/>
      <c r="R1023" s="12" t="n"/>
      <c r="S1023" s="12" t="n"/>
      <c r="T1023" s="12" t="n"/>
      <c r="U1023" s="12" t="n"/>
      <c r="V1023" s="12" t="n"/>
      <c r="W1023" s="12" t="n"/>
      <c r="X1023" s="12" t="n"/>
      <c r="Y1023" s="12" t="n"/>
      <c r="Z1023" s="12" t="n"/>
      <c r="AA1023" s="12" t="n"/>
      <c r="AB1023" s="12" t="n"/>
      <c r="AC1023" s="12" t="n"/>
      <c r="AD1023" s="12" t="n"/>
      <c r="AE1023" s="12" t="n"/>
      <c r="AF1023" s="12" t="n"/>
      <c r="AG1023" s="12" t="n"/>
      <c r="AH1023" s="12" t="n"/>
      <c r="AI1023" s="12" t="n"/>
      <c r="AJ1023" s="12" t="n"/>
      <c r="AK1023" s="12" t="n"/>
      <c r="AL1023" s="12" t="n"/>
      <c r="AM1023" s="12" t="n"/>
    </row>
    <row r="1024">
      <c r="A1024" s="9" t="n"/>
      <c r="B1024" s="9" t="n"/>
      <c r="C1024" s="9" t="n"/>
      <c r="D1024" s="9" t="n"/>
      <c r="E1024" s="9" t="n"/>
      <c r="F1024" s="9" t="n"/>
      <c r="G1024" s="9" t="n"/>
      <c r="H1024" s="9" t="n"/>
      <c r="I1024" s="9" t="n"/>
      <c r="J1024" s="9" t="n"/>
      <c r="K1024" s="9" t="n"/>
      <c r="L1024" s="9" t="n"/>
      <c r="M1024" s="16" t="n"/>
      <c r="N1024" s="9" t="n"/>
      <c r="O1024" s="9" t="n"/>
      <c r="P1024" s="9" t="n"/>
      <c r="Q1024" s="9" t="n"/>
      <c r="R1024" s="9" t="n"/>
      <c r="S1024" s="9" t="n"/>
      <c r="T1024" s="9" t="n"/>
      <c r="U1024" s="9" t="n"/>
      <c r="V1024" s="9" t="n"/>
      <c r="W1024" s="9" t="n"/>
      <c r="X1024" s="9" t="n"/>
      <c r="Y1024" s="9" t="n"/>
      <c r="Z1024" s="9" t="n"/>
      <c r="AA1024" s="9" t="n"/>
      <c r="AB1024" s="9" t="n"/>
      <c r="AC1024" s="9" t="n"/>
      <c r="AD1024" s="9" t="n"/>
      <c r="AE1024" s="9" t="n"/>
      <c r="AF1024" s="9" t="n"/>
      <c r="AG1024" s="9" t="n"/>
      <c r="AH1024" s="9" t="n"/>
      <c r="AI1024" s="9" t="n"/>
      <c r="AJ1024" s="9" t="n"/>
      <c r="AK1024" s="9" t="n"/>
      <c r="AL1024" s="9" t="n"/>
      <c r="AM1024" s="9" t="n"/>
    </row>
    <row r="1025">
      <c r="A1025" s="12" t="n"/>
      <c r="B1025" s="12" t="n"/>
      <c r="C1025" s="12" t="n"/>
      <c r="D1025" s="12" t="n"/>
      <c r="E1025" s="12" t="n"/>
      <c r="F1025" s="12" t="n"/>
      <c r="G1025" s="12" t="n"/>
      <c r="H1025" s="12" t="n"/>
      <c r="I1025" s="12" t="n"/>
      <c r="J1025" s="12" t="n"/>
      <c r="K1025" s="12" t="n"/>
      <c r="L1025" s="12" t="n"/>
      <c r="M1025" s="15" t="n"/>
      <c r="N1025" s="12" t="n"/>
      <c r="O1025" s="12" t="n"/>
      <c r="P1025" s="12" t="n"/>
      <c r="Q1025" s="12" t="n"/>
      <c r="R1025" s="12" t="n"/>
      <c r="S1025" s="12" t="n"/>
      <c r="T1025" s="12" t="n"/>
      <c r="U1025" s="12" t="n"/>
      <c r="V1025" s="12" t="n"/>
      <c r="W1025" s="12" t="n"/>
      <c r="X1025" s="12" t="n"/>
      <c r="Y1025" s="12" t="n"/>
      <c r="Z1025" s="12" t="n"/>
      <c r="AA1025" s="12" t="n"/>
      <c r="AB1025" s="12" t="n"/>
      <c r="AC1025" s="12" t="n"/>
      <c r="AD1025" s="12" t="n"/>
      <c r="AE1025" s="12" t="n"/>
      <c r="AF1025" s="12" t="n"/>
      <c r="AG1025" s="12" t="n"/>
      <c r="AH1025" s="12" t="n"/>
      <c r="AI1025" s="12" t="n"/>
      <c r="AJ1025" s="12" t="n"/>
      <c r="AK1025" s="12" t="n"/>
      <c r="AL1025" s="12" t="n"/>
      <c r="AM1025" s="12" t="n"/>
    </row>
    <row r="1026">
      <c r="A1026" s="9" t="n"/>
      <c r="B1026" s="9" t="n"/>
      <c r="C1026" s="9" t="n"/>
      <c r="D1026" s="9" t="n"/>
      <c r="E1026" s="9" t="n"/>
      <c r="F1026" s="9" t="n"/>
      <c r="G1026" s="9" t="n"/>
      <c r="H1026" s="9" t="n"/>
      <c r="I1026" s="9" t="n"/>
      <c r="J1026" s="9" t="n"/>
      <c r="K1026" s="9" t="n"/>
      <c r="L1026" s="9" t="n"/>
      <c r="M1026" s="16" t="n"/>
      <c r="N1026" s="9" t="n"/>
      <c r="O1026" s="9" t="n"/>
      <c r="P1026" s="9" t="n"/>
      <c r="Q1026" s="9" t="n"/>
      <c r="R1026" s="9" t="n"/>
      <c r="S1026" s="9" t="n"/>
      <c r="T1026" s="9" t="n"/>
      <c r="U1026" s="9" t="n"/>
      <c r="V1026" s="9" t="n"/>
      <c r="W1026" s="9" t="n"/>
      <c r="X1026" s="9" t="n"/>
      <c r="Y1026" s="9" t="n"/>
      <c r="Z1026" s="9" t="n"/>
      <c r="AA1026" s="9" t="n"/>
      <c r="AB1026" s="9" t="n"/>
      <c r="AC1026" s="9" t="n"/>
      <c r="AD1026" s="9" t="n"/>
      <c r="AE1026" s="9" t="n"/>
      <c r="AF1026" s="9" t="n"/>
      <c r="AG1026" s="9" t="n"/>
      <c r="AH1026" s="9" t="n"/>
      <c r="AI1026" s="9" t="n"/>
      <c r="AJ1026" s="9" t="n"/>
      <c r="AK1026" s="9" t="n"/>
      <c r="AL1026" s="9" t="n"/>
      <c r="AM1026" s="9" t="n"/>
    </row>
    <row r="1027">
      <c r="A1027" s="12" t="n"/>
      <c r="B1027" s="12" t="n"/>
      <c r="C1027" s="12" t="n"/>
      <c r="D1027" s="12" t="n"/>
      <c r="E1027" s="12" t="n"/>
      <c r="F1027" s="12" t="n"/>
      <c r="G1027" s="12" t="n"/>
      <c r="H1027" s="12" t="n"/>
      <c r="I1027" s="12" t="n"/>
      <c r="J1027" s="12" t="n"/>
      <c r="K1027" s="12" t="n"/>
      <c r="L1027" s="12" t="n"/>
      <c r="M1027" s="15" t="n"/>
      <c r="N1027" s="12" t="n"/>
      <c r="O1027" s="12" t="n"/>
      <c r="P1027" s="12" t="n"/>
      <c r="Q1027" s="12" t="n"/>
      <c r="R1027" s="12" t="n"/>
      <c r="S1027" s="12" t="n"/>
      <c r="T1027" s="12" t="n"/>
      <c r="U1027" s="12" t="n"/>
      <c r="V1027" s="12" t="n"/>
      <c r="W1027" s="12" t="n"/>
      <c r="X1027" s="12" t="n"/>
      <c r="Y1027" s="12" t="n"/>
      <c r="Z1027" s="12" t="n"/>
      <c r="AA1027" s="12" t="n"/>
      <c r="AB1027" s="12" t="n"/>
      <c r="AC1027" s="12" t="n"/>
      <c r="AD1027" s="12" t="n"/>
      <c r="AE1027" s="12" t="n"/>
      <c r="AF1027" s="12" t="n"/>
      <c r="AG1027" s="12" t="n"/>
      <c r="AH1027" s="12" t="n"/>
      <c r="AI1027" s="12" t="n"/>
      <c r="AJ1027" s="12" t="n"/>
      <c r="AK1027" s="12" t="n"/>
      <c r="AL1027" s="12" t="n"/>
      <c r="AM1027" s="12" t="n"/>
    </row>
    <row r="1028">
      <c r="A1028" s="9" t="n"/>
      <c r="B1028" s="9" t="n"/>
      <c r="C1028" s="9" t="n"/>
      <c r="D1028" s="9" t="n"/>
      <c r="E1028" s="9" t="n"/>
      <c r="F1028" s="9" t="n"/>
      <c r="G1028" s="9" t="n"/>
      <c r="H1028" s="9" t="n"/>
      <c r="I1028" s="9" t="n"/>
      <c r="J1028" s="9" t="n"/>
      <c r="K1028" s="9" t="n"/>
      <c r="L1028" s="9" t="n"/>
      <c r="M1028" s="16" t="n"/>
      <c r="N1028" s="9" t="n"/>
      <c r="O1028" s="9" t="n"/>
      <c r="P1028" s="9" t="n"/>
      <c r="Q1028" s="9" t="n"/>
      <c r="R1028" s="9" t="n"/>
      <c r="S1028" s="9" t="n"/>
      <c r="T1028" s="9" t="n"/>
      <c r="U1028" s="9" t="n"/>
      <c r="V1028" s="9" t="n"/>
      <c r="W1028" s="9" t="n"/>
      <c r="X1028" s="9" t="n"/>
      <c r="Y1028" s="9" t="n"/>
      <c r="Z1028" s="9" t="n"/>
      <c r="AA1028" s="9" t="n"/>
      <c r="AB1028" s="9" t="n"/>
      <c r="AC1028" s="9" t="n"/>
      <c r="AD1028" s="9" t="n"/>
      <c r="AE1028" s="9" t="n"/>
      <c r="AF1028" s="9" t="n"/>
      <c r="AG1028" s="9" t="n"/>
      <c r="AH1028" s="9" t="n"/>
      <c r="AI1028" s="9" t="n"/>
      <c r="AJ1028" s="9" t="n"/>
      <c r="AK1028" s="9" t="n"/>
      <c r="AL1028" s="9" t="n"/>
      <c r="AM1028" s="9" t="n"/>
    </row>
    <row r="1029">
      <c r="A1029" s="12" t="n"/>
      <c r="B1029" s="12" t="n"/>
      <c r="C1029" s="12" t="n"/>
      <c r="D1029" s="12" t="n"/>
      <c r="E1029" s="12" t="n"/>
      <c r="F1029" s="12" t="n"/>
      <c r="G1029" s="12" t="n"/>
      <c r="H1029" s="12" t="n"/>
      <c r="I1029" s="12" t="n"/>
      <c r="J1029" s="12" t="n"/>
      <c r="K1029" s="12" t="n"/>
      <c r="L1029" s="12" t="n"/>
      <c r="M1029" s="15" t="n"/>
      <c r="N1029" s="12" t="n"/>
      <c r="O1029" s="12" t="n"/>
      <c r="P1029" s="12" t="n"/>
      <c r="Q1029" s="12" t="n"/>
      <c r="R1029" s="12" t="n"/>
      <c r="S1029" s="12" t="n"/>
      <c r="T1029" s="12" t="n"/>
      <c r="U1029" s="12" t="n"/>
      <c r="V1029" s="12" t="n"/>
      <c r="W1029" s="12" t="n"/>
      <c r="X1029" s="12" t="n"/>
      <c r="Y1029" s="12" t="n"/>
      <c r="Z1029" s="12" t="n"/>
      <c r="AA1029" s="12" t="n"/>
      <c r="AB1029" s="12" t="n"/>
      <c r="AC1029" s="12" t="n"/>
      <c r="AD1029" s="12" t="n"/>
      <c r="AE1029" s="12" t="n"/>
      <c r="AF1029" s="12" t="n"/>
      <c r="AG1029" s="12" t="n"/>
      <c r="AH1029" s="12" t="n"/>
      <c r="AI1029" s="12" t="n"/>
      <c r="AJ1029" s="12" t="n"/>
      <c r="AK1029" s="12" t="n"/>
      <c r="AL1029" s="12" t="n"/>
      <c r="AM1029" s="12" t="n"/>
    </row>
    <row r="1030">
      <c r="A1030" s="9" t="n"/>
      <c r="B1030" s="9" t="n"/>
      <c r="C1030" s="9" t="n"/>
      <c r="D1030" s="9" t="n"/>
      <c r="E1030" s="9" t="n"/>
      <c r="F1030" s="9" t="n"/>
      <c r="G1030" s="9" t="n"/>
      <c r="H1030" s="9" t="n"/>
      <c r="I1030" s="9" t="n"/>
      <c r="J1030" s="9" t="n"/>
      <c r="K1030" s="9" t="n"/>
      <c r="L1030" s="9" t="n"/>
      <c r="M1030" s="16" t="n"/>
      <c r="N1030" s="9" t="n"/>
      <c r="O1030" s="9" t="n"/>
      <c r="P1030" s="9" t="n"/>
      <c r="Q1030" s="9" t="n"/>
      <c r="R1030" s="9" t="n"/>
      <c r="S1030" s="9" t="n"/>
      <c r="T1030" s="9" t="n"/>
      <c r="U1030" s="9" t="n"/>
      <c r="V1030" s="9" t="n"/>
      <c r="W1030" s="9" t="n"/>
      <c r="X1030" s="9" t="n"/>
      <c r="Y1030" s="9" t="n"/>
      <c r="Z1030" s="9" t="n"/>
      <c r="AA1030" s="9" t="n"/>
      <c r="AB1030" s="9" t="n"/>
      <c r="AC1030" s="9" t="n"/>
      <c r="AD1030" s="9" t="n"/>
      <c r="AE1030" s="9" t="n"/>
      <c r="AF1030" s="9" t="n"/>
      <c r="AG1030" s="9" t="n"/>
      <c r="AH1030" s="9" t="n"/>
      <c r="AI1030" s="9" t="n"/>
      <c r="AJ1030" s="9" t="n"/>
      <c r="AK1030" s="9" t="n"/>
      <c r="AL1030" s="9" t="n"/>
      <c r="AM1030" s="9" t="n"/>
    </row>
    <row r="1031">
      <c r="A1031" s="12" t="n"/>
      <c r="B1031" s="12" t="n"/>
      <c r="C1031" s="12" t="n"/>
      <c r="D1031" s="12" t="n"/>
      <c r="E1031" s="12" t="n"/>
      <c r="F1031" s="12" t="n"/>
      <c r="G1031" s="12" t="n"/>
      <c r="H1031" s="12" t="n"/>
      <c r="I1031" s="12" t="n"/>
      <c r="J1031" s="12" t="n"/>
      <c r="K1031" s="12" t="n"/>
      <c r="L1031" s="12" t="n"/>
      <c r="M1031" s="15" t="n"/>
      <c r="N1031" s="12" t="n"/>
      <c r="O1031" s="12" t="n"/>
      <c r="P1031" s="12" t="n"/>
      <c r="Q1031" s="12" t="n"/>
      <c r="R1031" s="12" t="n"/>
      <c r="S1031" s="12" t="n"/>
      <c r="T1031" s="12" t="n"/>
      <c r="U1031" s="12" t="n"/>
      <c r="V1031" s="12" t="n"/>
      <c r="W1031" s="12" t="n"/>
      <c r="X1031" s="12" t="n"/>
      <c r="Y1031" s="12" t="n"/>
      <c r="Z1031" s="12" t="n"/>
      <c r="AA1031" s="12" t="n"/>
      <c r="AB1031" s="12" t="n"/>
      <c r="AC1031" s="12" t="n"/>
      <c r="AD1031" s="12" t="n"/>
      <c r="AE1031" s="12" t="n"/>
      <c r="AF1031" s="12" t="n"/>
      <c r="AG1031" s="12" t="n"/>
      <c r="AH1031" s="12" t="n"/>
      <c r="AI1031" s="12" t="n"/>
      <c r="AJ1031" s="12" t="n"/>
      <c r="AK1031" s="12" t="n"/>
      <c r="AL1031" s="12" t="n"/>
      <c r="AM1031" s="12" t="n"/>
    </row>
    <row r="1032">
      <c r="A1032" s="9" t="n"/>
      <c r="B1032" s="9" t="n"/>
      <c r="C1032" s="9" t="n"/>
      <c r="D1032" s="9" t="n"/>
      <c r="E1032" s="9" t="n"/>
      <c r="F1032" s="9" t="n"/>
      <c r="G1032" s="9" t="n"/>
      <c r="H1032" s="9" t="n"/>
      <c r="I1032" s="9" t="n"/>
      <c r="J1032" s="9" t="n"/>
      <c r="K1032" s="9" t="n"/>
      <c r="L1032" s="9" t="n"/>
      <c r="M1032" s="16" t="n"/>
      <c r="N1032" s="9" t="n"/>
      <c r="O1032" s="9" t="n"/>
      <c r="P1032" s="9" t="n"/>
      <c r="Q1032" s="9" t="n"/>
      <c r="R1032" s="9" t="n"/>
      <c r="S1032" s="9" t="n"/>
      <c r="T1032" s="9" t="n"/>
      <c r="U1032" s="9" t="n"/>
      <c r="V1032" s="9" t="n"/>
      <c r="W1032" s="9" t="n"/>
      <c r="X1032" s="9" t="n"/>
      <c r="Y1032" s="9" t="n"/>
      <c r="Z1032" s="9" t="n"/>
      <c r="AA1032" s="9" t="n"/>
      <c r="AB1032" s="9" t="n"/>
      <c r="AC1032" s="9" t="n"/>
      <c r="AD1032" s="9" t="n"/>
      <c r="AE1032" s="9" t="n"/>
      <c r="AF1032" s="9" t="n"/>
      <c r="AG1032" s="9" t="n"/>
      <c r="AH1032" s="9" t="n"/>
      <c r="AI1032" s="9" t="n"/>
      <c r="AJ1032" s="9" t="n"/>
      <c r="AK1032" s="9" t="n"/>
      <c r="AL1032" s="9" t="n"/>
      <c r="AM1032" s="9" t="n"/>
    </row>
    <row r="1033">
      <c r="A1033" s="12" t="n"/>
      <c r="B1033" s="12" t="n"/>
      <c r="C1033" s="12" t="n"/>
      <c r="D1033" s="12" t="n"/>
      <c r="E1033" s="12" t="n"/>
      <c r="F1033" s="12" t="n"/>
      <c r="G1033" s="12" t="n"/>
      <c r="H1033" s="12" t="n"/>
      <c r="I1033" s="12" t="n"/>
      <c r="J1033" s="12" t="n"/>
      <c r="K1033" s="12" t="n"/>
      <c r="L1033" s="12" t="n"/>
      <c r="M1033" s="15" t="n"/>
      <c r="N1033" s="12" t="n"/>
      <c r="O1033" s="12" t="n"/>
      <c r="P1033" s="12" t="n"/>
      <c r="Q1033" s="12" t="n"/>
      <c r="R1033" s="12" t="n"/>
      <c r="S1033" s="12" t="n"/>
      <c r="T1033" s="12" t="n"/>
      <c r="U1033" s="12" t="n"/>
      <c r="V1033" s="12" t="n"/>
      <c r="W1033" s="12" t="n"/>
      <c r="X1033" s="12" t="n"/>
      <c r="Y1033" s="12" t="n"/>
      <c r="Z1033" s="12" t="n"/>
      <c r="AA1033" s="12" t="n"/>
      <c r="AB1033" s="12" t="n"/>
      <c r="AC1033" s="12" t="n"/>
      <c r="AD1033" s="12" t="n"/>
      <c r="AE1033" s="12" t="n"/>
      <c r="AF1033" s="12" t="n"/>
      <c r="AG1033" s="12" t="n"/>
      <c r="AH1033" s="12" t="n"/>
      <c r="AI1033" s="12" t="n"/>
      <c r="AJ1033" s="12" t="n"/>
      <c r="AK1033" s="12" t="n"/>
      <c r="AL1033" s="12" t="n"/>
      <c r="AM1033" s="12" t="n"/>
    </row>
    <row r="1034">
      <c r="A1034" s="9" t="n"/>
      <c r="B1034" s="9" t="n"/>
      <c r="C1034" s="9" t="n"/>
      <c r="D1034" s="9" t="n"/>
      <c r="E1034" s="9" t="n"/>
      <c r="F1034" s="9" t="n"/>
      <c r="G1034" s="9" t="n"/>
      <c r="H1034" s="9" t="n"/>
      <c r="I1034" s="9" t="n"/>
      <c r="J1034" s="9" t="n"/>
      <c r="K1034" s="9" t="n"/>
      <c r="L1034" s="9" t="n"/>
      <c r="M1034" s="16" t="n"/>
      <c r="N1034" s="9" t="n"/>
      <c r="O1034" s="9" t="n"/>
      <c r="P1034" s="9" t="n"/>
      <c r="Q1034" s="9" t="n"/>
      <c r="R1034" s="9" t="n"/>
      <c r="S1034" s="9" t="n"/>
      <c r="T1034" s="9" t="n"/>
      <c r="U1034" s="9" t="n"/>
      <c r="V1034" s="9" t="n"/>
      <c r="W1034" s="9" t="n"/>
      <c r="X1034" s="9" t="n"/>
      <c r="Y1034" s="9" t="n"/>
      <c r="Z1034" s="9" t="n"/>
      <c r="AA1034" s="9" t="n"/>
      <c r="AB1034" s="9" t="n"/>
      <c r="AC1034" s="9" t="n"/>
      <c r="AD1034" s="9" t="n"/>
      <c r="AE1034" s="9" t="n"/>
      <c r="AF1034" s="9" t="n"/>
      <c r="AG1034" s="9" t="n"/>
      <c r="AH1034" s="9" t="n"/>
      <c r="AI1034" s="9" t="n"/>
      <c r="AJ1034" s="9" t="n"/>
      <c r="AK1034" s="9" t="n"/>
      <c r="AL1034" s="9" t="n"/>
      <c r="AM1034" s="9" t="n"/>
    </row>
    <row r="1035">
      <c r="A1035" s="12" t="n"/>
      <c r="B1035" s="12" t="n"/>
      <c r="C1035" s="12" t="n"/>
      <c r="D1035" s="12" t="n"/>
      <c r="E1035" s="12" t="n"/>
      <c r="F1035" s="12" t="n"/>
      <c r="G1035" s="12" t="n"/>
      <c r="H1035" s="12" t="n"/>
      <c r="I1035" s="12" t="n"/>
      <c r="J1035" s="12" t="n"/>
      <c r="K1035" s="12" t="n"/>
      <c r="L1035" s="12" t="n"/>
      <c r="M1035" s="15" t="n"/>
      <c r="N1035" s="12" t="n"/>
      <c r="O1035" s="12" t="n"/>
      <c r="P1035" s="12" t="n"/>
      <c r="Q1035" s="12" t="n"/>
      <c r="R1035" s="12" t="n"/>
      <c r="S1035" s="12" t="n"/>
      <c r="T1035" s="12" t="n"/>
      <c r="U1035" s="12" t="n"/>
      <c r="V1035" s="12" t="n"/>
      <c r="W1035" s="12" t="n"/>
      <c r="X1035" s="12" t="n"/>
      <c r="Y1035" s="12" t="n"/>
      <c r="Z1035" s="12" t="n"/>
      <c r="AA1035" s="12" t="n"/>
      <c r="AB1035" s="12" t="n"/>
      <c r="AC1035" s="12" t="n"/>
      <c r="AD1035" s="12" t="n"/>
      <c r="AE1035" s="12" t="n"/>
      <c r="AF1035" s="12" t="n"/>
      <c r="AG1035" s="12" t="n"/>
      <c r="AH1035" s="12" t="n"/>
      <c r="AI1035" s="12" t="n"/>
      <c r="AJ1035" s="12" t="n"/>
      <c r="AK1035" s="12" t="n"/>
      <c r="AL1035" s="12" t="n"/>
      <c r="AM1035" s="12" t="n"/>
    </row>
    <row r="1036">
      <c r="A1036" s="9" t="n"/>
      <c r="B1036" s="9" t="n"/>
      <c r="C1036" s="9" t="n"/>
      <c r="D1036" s="9" t="n"/>
      <c r="E1036" s="9" t="n"/>
      <c r="F1036" s="9" t="n"/>
      <c r="G1036" s="9" t="n"/>
      <c r="H1036" s="9" t="n"/>
      <c r="I1036" s="9" t="n"/>
      <c r="J1036" s="9" t="n"/>
      <c r="K1036" s="9" t="n"/>
      <c r="L1036" s="9" t="n"/>
      <c r="M1036" s="16" t="n"/>
      <c r="N1036" s="9" t="n"/>
      <c r="O1036" s="9" t="n"/>
      <c r="P1036" s="9" t="n"/>
      <c r="Q1036" s="9" t="n"/>
      <c r="R1036" s="9" t="n"/>
      <c r="S1036" s="9" t="n"/>
      <c r="T1036" s="9" t="n"/>
      <c r="U1036" s="9" t="n"/>
      <c r="V1036" s="9" t="n"/>
      <c r="W1036" s="9" t="n"/>
      <c r="X1036" s="9" t="n"/>
      <c r="Y1036" s="9" t="n"/>
      <c r="Z1036" s="9" t="n"/>
      <c r="AA1036" s="9" t="n"/>
      <c r="AB1036" s="9" t="n"/>
      <c r="AC1036" s="9" t="n"/>
      <c r="AD1036" s="9" t="n"/>
      <c r="AE1036" s="9" t="n"/>
      <c r="AF1036" s="9" t="n"/>
      <c r="AG1036" s="9" t="n"/>
      <c r="AH1036" s="9" t="n"/>
      <c r="AI1036" s="9" t="n"/>
      <c r="AJ1036" s="9" t="n"/>
      <c r="AK1036" s="9" t="n"/>
      <c r="AL1036" s="9" t="n"/>
      <c r="AM1036" s="9" t="n"/>
    </row>
    <row r="1037">
      <c r="A1037" s="12" t="n"/>
      <c r="B1037" s="12" t="n"/>
      <c r="C1037" s="12" t="n"/>
      <c r="D1037" s="12" t="n"/>
      <c r="E1037" s="12" t="n"/>
      <c r="F1037" s="12" t="n"/>
      <c r="G1037" s="12" t="n"/>
      <c r="H1037" s="12" t="n"/>
      <c r="I1037" s="12" t="n"/>
      <c r="J1037" s="12" t="n"/>
      <c r="K1037" s="12" t="n"/>
      <c r="L1037" s="12" t="n"/>
      <c r="M1037" s="15" t="n"/>
      <c r="N1037" s="12" t="n"/>
      <c r="O1037" s="12" t="n"/>
      <c r="P1037" s="12" t="n"/>
      <c r="Q1037" s="12" t="n"/>
      <c r="R1037" s="12" t="n"/>
      <c r="S1037" s="12" t="n"/>
      <c r="T1037" s="12" t="n"/>
      <c r="U1037" s="12" t="n"/>
      <c r="V1037" s="12" t="n"/>
      <c r="W1037" s="12" t="n"/>
      <c r="X1037" s="12" t="n"/>
      <c r="Y1037" s="12" t="n"/>
      <c r="Z1037" s="12" t="n"/>
      <c r="AA1037" s="12" t="n"/>
      <c r="AB1037" s="12" t="n"/>
      <c r="AC1037" s="12" t="n"/>
      <c r="AD1037" s="12" t="n"/>
      <c r="AE1037" s="12" t="n"/>
      <c r="AF1037" s="12" t="n"/>
      <c r="AG1037" s="12" t="n"/>
      <c r="AH1037" s="12" t="n"/>
      <c r="AI1037" s="12" t="n"/>
      <c r="AJ1037" s="12" t="n"/>
      <c r="AK1037" s="12" t="n"/>
      <c r="AL1037" s="12" t="n"/>
      <c r="AM1037" s="12" t="n"/>
    </row>
    <row r="1038">
      <c r="A1038" s="9" t="n"/>
      <c r="B1038" s="9" t="n"/>
      <c r="C1038" s="9" t="n"/>
      <c r="D1038" s="9" t="n"/>
      <c r="E1038" s="9" t="n"/>
      <c r="F1038" s="9" t="n"/>
      <c r="G1038" s="9" t="n"/>
      <c r="H1038" s="9" t="n"/>
      <c r="I1038" s="9" t="n"/>
      <c r="J1038" s="9" t="n"/>
      <c r="K1038" s="9" t="n"/>
      <c r="L1038" s="9" t="n"/>
      <c r="M1038" s="16" t="n"/>
      <c r="N1038" s="9" t="n"/>
      <c r="O1038" s="9" t="n"/>
      <c r="P1038" s="9" t="n"/>
      <c r="Q1038" s="9" t="n"/>
      <c r="R1038" s="9" t="n"/>
      <c r="S1038" s="9" t="n"/>
      <c r="T1038" s="9" t="n"/>
      <c r="U1038" s="9" t="n"/>
      <c r="V1038" s="9" t="n"/>
      <c r="W1038" s="9" t="n"/>
      <c r="X1038" s="9" t="n"/>
      <c r="Y1038" s="9" t="n"/>
      <c r="Z1038" s="9" t="n"/>
      <c r="AA1038" s="9" t="n"/>
      <c r="AB1038" s="9" t="n"/>
      <c r="AC1038" s="9" t="n"/>
      <c r="AD1038" s="9" t="n"/>
      <c r="AE1038" s="9" t="n"/>
      <c r="AF1038" s="9" t="n"/>
      <c r="AG1038" s="9" t="n"/>
      <c r="AH1038" s="9" t="n"/>
      <c r="AI1038" s="9" t="n"/>
      <c r="AJ1038" s="9" t="n"/>
      <c r="AK1038" s="9" t="n"/>
      <c r="AL1038" s="9" t="n"/>
      <c r="AM1038" s="9" t="n"/>
    </row>
    <row r="1039">
      <c r="A1039" s="12" t="n"/>
      <c r="B1039" s="12" t="n"/>
      <c r="C1039" s="12" t="n"/>
      <c r="D1039" s="12" t="n"/>
      <c r="E1039" s="12" t="n"/>
      <c r="F1039" s="12" t="n"/>
      <c r="G1039" s="12" t="n"/>
      <c r="H1039" s="12" t="n"/>
      <c r="I1039" s="12" t="n"/>
      <c r="J1039" s="12" t="n"/>
      <c r="K1039" s="12" t="n"/>
      <c r="L1039" s="12" t="n"/>
      <c r="M1039" s="15" t="n"/>
      <c r="N1039" s="12" t="n"/>
      <c r="O1039" s="12" t="n"/>
      <c r="P1039" s="12" t="n"/>
      <c r="Q1039" s="12" t="n"/>
      <c r="R1039" s="12" t="n"/>
      <c r="S1039" s="12" t="n"/>
      <c r="T1039" s="12" t="n"/>
      <c r="U1039" s="12" t="n"/>
      <c r="V1039" s="12" t="n"/>
      <c r="W1039" s="12" t="n"/>
      <c r="X1039" s="12" t="n"/>
      <c r="Y1039" s="12" t="n"/>
      <c r="Z1039" s="12" t="n"/>
      <c r="AA1039" s="12" t="n"/>
      <c r="AB1039" s="12" t="n"/>
      <c r="AC1039" s="12" t="n"/>
      <c r="AD1039" s="12" t="n"/>
      <c r="AE1039" s="12" t="n"/>
      <c r="AF1039" s="12" t="n"/>
      <c r="AG1039" s="12" t="n"/>
      <c r="AH1039" s="12" t="n"/>
      <c r="AI1039" s="12" t="n"/>
      <c r="AJ1039" s="12" t="n"/>
      <c r="AK1039" s="12" t="n"/>
      <c r="AL1039" s="12" t="n"/>
      <c r="AM1039" s="12" t="n"/>
    </row>
    <row r="1040">
      <c r="A1040" s="9" t="n"/>
      <c r="B1040" s="9" t="n"/>
      <c r="C1040" s="9" t="n"/>
      <c r="D1040" s="9" t="n"/>
      <c r="E1040" s="9" t="n"/>
      <c r="F1040" s="9" t="n"/>
      <c r="G1040" s="9" t="n"/>
      <c r="H1040" s="9" t="n"/>
      <c r="I1040" s="9" t="n"/>
      <c r="J1040" s="9" t="n"/>
      <c r="K1040" s="9" t="n"/>
      <c r="L1040" s="9" t="n"/>
      <c r="M1040" s="16" t="n"/>
      <c r="N1040" s="9" t="n"/>
      <c r="O1040" s="9" t="n"/>
      <c r="P1040" s="9" t="n"/>
      <c r="Q1040" s="9" t="n"/>
      <c r="R1040" s="9" t="n"/>
      <c r="S1040" s="9" t="n"/>
      <c r="T1040" s="9" t="n"/>
      <c r="U1040" s="9" t="n"/>
      <c r="V1040" s="9" t="n"/>
      <c r="W1040" s="9" t="n"/>
      <c r="X1040" s="9" t="n"/>
      <c r="Y1040" s="9" t="n"/>
      <c r="Z1040" s="9" t="n"/>
      <c r="AA1040" s="9" t="n"/>
      <c r="AB1040" s="9" t="n"/>
      <c r="AC1040" s="9" t="n"/>
      <c r="AD1040" s="9" t="n"/>
      <c r="AE1040" s="9" t="n"/>
      <c r="AF1040" s="9" t="n"/>
      <c r="AG1040" s="9" t="n"/>
      <c r="AH1040" s="9" t="n"/>
      <c r="AI1040" s="9" t="n"/>
      <c r="AJ1040" s="9" t="n"/>
      <c r="AK1040" s="9" t="n"/>
      <c r="AL1040" s="9" t="n"/>
      <c r="AM1040" s="9" t="n"/>
    </row>
    <row r="1041">
      <c r="A1041" s="12" t="n"/>
      <c r="B1041" s="12" t="n"/>
      <c r="C1041" s="12" t="n"/>
      <c r="D1041" s="12" t="n"/>
      <c r="E1041" s="12" t="n"/>
      <c r="F1041" s="12" t="n"/>
      <c r="G1041" s="12" t="n"/>
      <c r="H1041" s="12" t="n"/>
      <c r="I1041" s="12" t="n"/>
      <c r="J1041" s="12" t="n"/>
      <c r="K1041" s="12" t="n"/>
      <c r="L1041" s="12" t="n"/>
      <c r="M1041" s="15" t="n"/>
      <c r="N1041" s="12" t="n"/>
      <c r="O1041" s="12" t="n"/>
      <c r="P1041" s="12" t="n"/>
      <c r="Q1041" s="12" t="n"/>
      <c r="R1041" s="12" t="n"/>
      <c r="S1041" s="12" t="n"/>
      <c r="T1041" s="12" t="n"/>
      <c r="U1041" s="12" t="n"/>
      <c r="V1041" s="12" t="n"/>
      <c r="W1041" s="12" t="n"/>
      <c r="X1041" s="12" t="n"/>
      <c r="Y1041" s="12" t="n"/>
      <c r="Z1041" s="12" t="n"/>
      <c r="AA1041" s="12" t="n"/>
      <c r="AB1041" s="12" t="n"/>
      <c r="AC1041" s="12" t="n"/>
      <c r="AD1041" s="12" t="n"/>
      <c r="AE1041" s="12" t="n"/>
      <c r="AF1041" s="12" t="n"/>
      <c r="AG1041" s="12" t="n"/>
      <c r="AH1041" s="12" t="n"/>
      <c r="AI1041" s="12" t="n"/>
      <c r="AJ1041" s="12" t="n"/>
      <c r="AK1041" s="12" t="n"/>
      <c r="AL1041" s="12" t="n"/>
      <c r="AM1041" s="12" t="n"/>
    </row>
  </sheetData>
  <autoFilter ref="$C$1:$T$134">
    <sortState ref="C1:T134">
      <sortCondition ref="C1:C134"/>
      <sortCondition ref="E1:E134"/>
      <sortCondition ref="D1:D134"/>
      <sortCondition ref="H1:H134"/>
      <sortCondition ref="I1:I134"/>
      <sortCondition ref="J1:J134"/>
      <sortCondition ref="K1:K134"/>
    </sortState>
  </autoFilter>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1000"/>
  <sheetViews>
    <sheetView workbookViewId="0">
      <selection activeCell="A1" sqref="A1"/>
    </sheetView>
  </sheetViews>
  <sheetFormatPr baseColWidth="8" defaultColWidth="12.63" defaultRowHeight="15.75" customHeight="1"/>
  <cols>
    <col width="5.5" customWidth="1" style="17" min="1" max="2"/>
    <col width="6.38" customWidth="1" style="17" min="3" max="4"/>
    <col width="11.88" customWidth="1" style="17" min="5" max="5"/>
    <col width="6.38" customWidth="1" style="17" min="6" max="7"/>
    <col width="6.5" customWidth="1" style="17" min="8" max="8"/>
    <col width="6" customWidth="1" style="17" min="9" max="9"/>
    <col width="8.380000000000001" customWidth="1" style="17" min="10" max="10"/>
    <col width="18.88" customWidth="1" style="17" min="11" max="11"/>
    <col width="42.13" customWidth="1" style="17" min="12" max="12"/>
    <col width="19.13" customWidth="1" style="17" min="15" max="15"/>
  </cols>
  <sheetData>
    <row r="1">
      <c r="A1" s="3" t="inlineStr">
        <is>
          <t>exclude</t>
        </is>
      </c>
      <c r="B1" s="3" t="inlineStr">
        <is>
          <t>id</t>
        </is>
      </c>
      <c r="C1" s="3" t="inlineStr">
        <is>
          <t>card_id</t>
        </is>
      </c>
      <c r="D1" s="3" t="inlineStr">
        <is>
          <t>cid</t>
        </is>
      </c>
      <c r="E1" s="3" t="inlineStr">
        <is>
          <t>country</t>
        </is>
      </c>
      <c r="F1" s="3" t="inlineStr">
        <is>
          <t>color</t>
        </is>
      </c>
      <c r="G1" s="3" t="inlineStr">
        <is>
          <t>cost</t>
        </is>
      </c>
      <c r="H1" s="3" t="inlineStr">
        <is>
          <t>score</t>
        </is>
      </c>
      <c r="I1" s="3" t="inlineStr">
        <is>
          <t>power</t>
        </is>
      </c>
      <c r="J1" s="13" t="inlineStr">
        <is>
          <t>running</t>
        </is>
      </c>
      <c r="K1" s="13" t="inlineStr">
        <is>
          <t>condition</t>
        </is>
      </c>
      <c r="L1" s="13" t="inlineStr">
        <is>
          <t>effect</t>
        </is>
      </c>
      <c r="M1" s="3" t="inlineStr">
        <is>
          <t>name</t>
        </is>
      </c>
      <c r="N1" s="3" t="inlineStr">
        <is>
          <t>rname</t>
        </is>
      </c>
      <c r="O1" s="3" t="inlineStr">
        <is>
          <t>value</t>
        </is>
      </c>
    </row>
    <row r="2">
      <c r="A2" s="3" t="n">
        <v>0</v>
      </c>
      <c r="B2" s="3">
        <f>ROW()-1</f>
        <v/>
      </c>
      <c r="C2" s="3">
        <f>"S"&amp;TEXT(B2,"000")</f>
        <v/>
      </c>
      <c r="D2" s="3" t="n">
        <v>0</v>
      </c>
      <c r="E2" s="3">
        <f t="array" ref="E2">_xlfn.XLOOKUP(D2,country!$A$2:$A$6,country!$B$2:$B$6)</f>
        <v/>
      </c>
      <c r="F2" s="3">
        <f t="array" ref="F2">_xlfn.XLOOKUP(D2,country!$A$2:$A$6,country!$C$2:$C$6)</f>
        <v/>
      </c>
      <c r="G2" s="3" t="n">
        <v>10</v>
      </c>
      <c r="H2" s="3" t="n">
        <v>5</v>
      </c>
      <c r="I2" s="3" t="n">
        <v>1</v>
      </c>
      <c r="J2" s="13" t="n"/>
      <c r="K2" s="13" t="inlineStr">
        <is>
          <t>打ち上げ時</t>
        </is>
      </c>
      <c r="L2" s="13" t="inlineStr">
        <is>
          <t>打ち上げ時、プロジェクトカードを1枚引く</t>
        </is>
      </c>
      <c r="M2" s="3" t="inlineStr">
        <is>
          <t>hammer</t>
        </is>
      </c>
      <c r="N2" s="3">
        <f>upper(M2)</f>
        <v/>
      </c>
      <c r="O2" s="3" t="n">
        <v>4</v>
      </c>
    </row>
    <row r="3">
      <c r="A3" s="3" t="n">
        <v>0</v>
      </c>
      <c r="B3" s="3">
        <f>ROW()-1</f>
        <v/>
      </c>
      <c r="C3" s="3">
        <f>"S"&amp;TEXT(B3,"000")</f>
        <v/>
      </c>
      <c r="D3" s="3" t="n">
        <v>0</v>
      </c>
      <c r="E3" s="3">
        <f t="array" ref="E3">_xlfn.XLOOKUP(D3,country!$A$2:$A$6,country!$B$2:$B$6)</f>
        <v/>
      </c>
      <c r="F3" s="3">
        <f t="array" ref="F3">_xlfn.XLOOKUP(D3,country!$A$2:$A$6,country!$C$2:$C$6)</f>
        <v/>
      </c>
      <c r="G3" s="3" t="n">
        <v>20</v>
      </c>
      <c r="H3" s="3" t="n">
        <v>5</v>
      </c>
      <c r="I3" s="3" t="n">
        <v>1</v>
      </c>
      <c r="J3" s="13" t="n"/>
      <c r="K3" s="13" t="inlineStr">
        <is>
          <t>打ち上げ時</t>
        </is>
      </c>
      <c r="L3" s="13" t="inlineStr">
        <is>
          <t>打ち上げ時、予算+2</t>
        </is>
      </c>
      <c r="M3" s="3" t="inlineStr">
        <is>
          <t>retro</t>
        </is>
      </c>
      <c r="N3" s="3">
        <f>upper(M3)</f>
        <v/>
      </c>
      <c r="O3" s="3" t="n">
        <v>15</v>
      </c>
    </row>
    <row r="4">
      <c r="A4" s="3" t="n">
        <v>0</v>
      </c>
      <c r="B4" s="3">
        <f>ROW()-1</f>
        <v/>
      </c>
      <c r="C4" s="3">
        <f>"S"&amp;TEXT(B4,"000")</f>
        <v/>
      </c>
      <c r="D4" s="3" t="n">
        <v>0</v>
      </c>
      <c r="E4" s="3">
        <f t="array" ref="E4">_xlfn.XLOOKUP(D4,country!$A$2:$A$6,country!$B$2:$B$6)</f>
        <v/>
      </c>
      <c r="F4" s="3">
        <f t="array" ref="F4">_xlfn.XLOOKUP(D4,country!$A$2:$A$6,country!$C$2:$C$6)</f>
        <v/>
      </c>
      <c r="G4" s="3" t="n">
        <v>20</v>
      </c>
      <c r="H4" s="3" t="n">
        <v>10</v>
      </c>
      <c r="I4" s="3" t="n">
        <v>1</v>
      </c>
      <c r="J4" s="13" t="n"/>
      <c r="K4" s="13" t="inlineStr">
        <is>
          <t>打ち上げ時</t>
        </is>
      </c>
      <c r="L4" s="13" t="inlineStr">
        <is>
          <t>打ち上げ時、プロジェクトカードを3枚引く</t>
        </is>
      </c>
      <c r="M4" s="3" t="inlineStr">
        <is>
          <t>scallop</t>
        </is>
      </c>
      <c r="N4" s="3">
        <f>upper(M4)</f>
        <v/>
      </c>
      <c r="O4" s="3" t="n">
        <v>12</v>
      </c>
    </row>
    <row r="5">
      <c r="A5" s="3" t="n">
        <v>0</v>
      </c>
      <c r="B5" s="3">
        <f>ROW()-1</f>
        <v/>
      </c>
      <c r="C5" s="3">
        <f>"S"&amp;TEXT(B5,"000")</f>
        <v/>
      </c>
      <c r="D5" s="3" t="n">
        <v>0</v>
      </c>
      <c r="E5" s="3">
        <f t="array" ref="E5">_xlfn.XLOOKUP(D5,country!$A$2:$A$6,country!$B$2:$B$6)</f>
        <v/>
      </c>
      <c r="F5" s="3">
        <f t="array" ref="F5">_xlfn.XLOOKUP(D5,country!$A$2:$A$6,country!$C$2:$C$6)</f>
        <v/>
      </c>
      <c r="G5" s="3" t="n">
        <v>30</v>
      </c>
      <c r="H5" s="3" t="n">
        <v>10</v>
      </c>
      <c r="I5" s="3" t="n">
        <v>1</v>
      </c>
      <c r="J5" s="13" t="n"/>
      <c r="K5" s="13" t="inlineStr">
        <is>
          <t>打ち上げ時</t>
        </is>
      </c>
      <c r="L5" s="13" t="inlineStr">
        <is>
          <t>打ち上げ時、予算+3</t>
        </is>
      </c>
      <c r="M5" s="3" t="inlineStr">
        <is>
          <t>concorde</t>
        </is>
      </c>
      <c r="N5" s="3">
        <f>upper(M5)</f>
        <v/>
      </c>
      <c r="O5" s="3" t="n">
        <v>22</v>
      </c>
    </row>
    <row r="6">
      <c r="A6" s="3" t="n">
        <v>0</v>
      </c>
      <c r="B6" s="3">
        <f>ROW()-1</f>
        <v/>
      </c>
      <c r="C6" s="3">
        <f>"S"&amp;TEXT(B6,"000")</f>
        <v/>
      </c>
      <c r="D6" s="3" t="n">
        <v>0</v>
      </c>
      <c r="E6" s="3">
        <f t="array" ref="E6">_xlfn.XLOOKUP(D6,country!$A$2:$A$6,country!$B$2:$B$6)</f>
        <v/>
      </c>
      <c r="F6" s="3">
        <f t="array" ref="F6">_xlfn.XLOOKUP(D6,country!$A$2:$A$6,country!$C$2:$C$6)</f>
        <v/>
      </c>
      <c r="G6" s="3" t="n">
        <v>30</v>
      </c>
      <c r="H6" s="3" t="n">
        <v>15</v>
      </c>
      <c r="I6" s="3" t="n">
        <v>1</v>
      </c>
      <c r="J6" s="13" t="n"/>
      <c r="K6" s="13" t="inlineStr">
        <is>
          <t>打ち上げ時</t>
        </is>
      </c>
      <c r="L6" s="13" t="inlineStr">
        <is>
          <t>打ち上げ時、手札からプロジェクトカードを最大2枚選んで配備コストを支払ってこの衛星に配備してもよい</t>
        </is>
      </c>
      <c r="M6" s="3" t="inlineStr">
        <is>
          <t>stealth</t>
        </is>
      </c>
      <c r="N6" s="3">
        <f>upper(M6)</f>
        <v/>
      </c>
      <c r="O6" s="3" t="inlineStr">
        <is>
          <t>5x2=10</t>
        </is>
      </c>
    </row>
    <row r="7">
      <c r="A7" s="3" t="n">
        <v>0</v>
      </c>
      <c r="B7" s="3">
        <f>ROW()-1</f>
        <v/>
      </c>
      <c r="C7" s="3">
        <f>"S"&amp;TEXT(B7,"000")</f>
        <v/>
      </c>
      <c r="D7" s="3" t="n">
        <v>1</v>
      </c>
      <c r="E7" s="3">
        <f t="array" ref="E7">_xlfn.XLOOKUP(D7,country!$A$2:$A$6,country!$B$2:$B$6)</f>
        <v/>
      </c>
      <c r="F7" s="3">
        <f t="array" ref="F7">_xlfn.XLOOKUP(D7,country!$A$2:$A$6,country!$C$2:$C$6)</f>
        <v/>
      </c>
      <c r="G7" s="3" t="n">
        <v>15</v>
      </c>
      <c r="H7" s="3" t="n">
        <v>5</v>
      </c>
      <c r="I7" s="3" t="n">
        <v>1</v>
      </c>
      <c r="J7" s="13" t="n">
        <v>1</v>
      </c>
      <c r="K7" s="13" t="inlineStr">
        <is>
          <t>常時</t>
        </is>
      </c>
      <c r="L7" s="13" t="inlineStr">
        <is>
          <t>自分の全ての衛星の打ち上げコスト-3</t>
        </is>
      </c>
      <c r="M7" s="3" t="inlineStr">
        <is>
          <t>hammer</t>
        </is>
      </c>
      <c r="N7" s="3">
        <f>upper(M7)</f>
        <v/>
      </c>
      <c r="O7" s="3" t="inlineStr">
        <is>
          <t>3x4=12</t>
        </is>
      </c>
    </row>
    <row r="8">
      <c r="A8" s="3" t="n">
        <v>0</v>
      </c>
      <c r="B8" s="3">
        <f>ROW()-1</f>
        <v/>
      </c>
      <c r="C8" s="3">
        <f>"S"&amp;TEXT(B8,"000")</f>
        <v/>
      </c>
      <c r="D8" s="3" t="n">
        <v>1</v>
      </c>
      <c r="E8" s="3">
        <f t="array" ref="E8">_xlfn.XLOOKUP(D8,country!$A$2:$A$6,country!$B$2:$B$6)</f>
        <v/>
      </c>
      <c r="F8" s="3">
        <f t="array" ref="F8">_xlfn.XLOOKUP(D8,country!$A$2:$A$6,country!$C$2:$C$6)</f>
        <v/>
      </c>
      <c r="G8" s="3" t="n">
        <v>20</v>
      </c>
      <c r="H8" s="3" t="n">
        <v>10</v>
      </c>
      <c r="I8" s="3" t="n">
        <v>1</v>
      </c>
      <c r="J8" s="13" t="n">
        <v>1</v>
      </c>
      <c r="K8" s="13" t="inlineStr">
        <is>
          <t>常時</t>
        </is>
      </c>
      <c r="L8" s="13" t="inlineStr">
        <is>
          <t>自分の全ての衛星への配備コスト-1</t>
        </is>
      </c>
      <c r="M8" s="3" t="inlineStr">
        <is>
          <t>retro</t>
        </is>
      </c>
      <c r="N8" s="3">
        <f>upper(M8)</f>
        <v/>
      </c>
      <c r="O8" s="3" t="n">
        <v>10</v>
      </c>
    </row>
    <row r="9">
      <c r="A9" s="3" t="n">
        <v>0</v>
      </c>
      <c r="B9" s="3">
        <f>ROW()-1</f>
        <v/>
      </c>
      <c r="C9" s="3">
        <f>"S"&amp;TEXT(B9,"000")</f>
        <v/>
      </c>
      <c r="D9" s="3" t="n">
        <v>1</v>
      </c>
      <c r="E9" s="3">
        <f t="array" ref="E9">_xlfn.XLOOKUP(D9,country!$A$2:$A$6,country!$B$2:$B$6)</f>
        <v/>
      </c>
      <c r="F9" s="3">
        <f t="array" ref="F9">_xlfn.XLOOKUP(D9,country!$A$2:$A$6,country!$C$2:$C$6)</f>
        <v/>
      </c>
      <c r="G9" s="3" t="n">
        <v>20</v>
      </c>
      <c r="H9" s="3" t="n">
        <v>10</v>
      </c>
      <c r="I9" s="3" t="n">
        <v>1</v>
      </c>
      <c r="J9" s="13" t="n">
        <v>1</v>
      </c>
      <c r="K9" s="13" t="inlineStr">
        <is>
          <t>常時</t>
        </is>
      </c>
      <c r="L9" s="13" t="inlineStr">
        <is>
          <t>自分の全ての衛星の通信確立コスト-1</t>
        </is>
      </c>
      <c r="M9" s="3" t="inlineStr">
        <is>
          <t>scallop</t>
        </is>
      </c>
      <c r="N9" s="3">
        <f>upper(M9)</f>
        <v/>
      </c>
      <c r="O9" s="3" t="n">
        <v>12</v>
      </c>
    </row>
    <row r="10">
      <c r="A10" s="3" t="n">
        <v>0</v>
      </c>
      <c r="B10" s="3">
        <f>ROW()-1</f>
        <v/>
      </c>
      <c r="C10" s="3">
        <f>"S"&amp;TEXT(B10,"000")</f>
        <v/>
      </c>
      <c r="D10" s="3" t="n">
        <v>1</v>
      </c>
      <c r="E10" s="3">
        <f t="array" ref="E10">_xlfn.XLOOKUP(D10,country!$A$2:$A$6,country!$B$2:$B$6)</f>
        <v/>
      </c>
      <c r="F10" s="3">
        <f t="array" ref="F10">_xlfn.XLOOKUP(D10,country!$A$2:$A$6,country!$C$2:$C$6)</f>
        <v/>
      </c>
      <c r="G10" s="3" t="n">
        <v>20</v>
      </c>
      <c r="H10" s="3" t="n">
        <v>10</v>
      </c>
      <c r="I10" s="3" t="n">
        <v>1</v>
      </c>
      <c r="J10" s="13" t="n">
        <v>1</v>
      </c>
      <c r="K10" s="13" t="inlineStr">
        <is>
          <t>常時</t>
        </is>
      </c>
      <c r="L10" s="13" t="inlineStr">
        <is>
          <t>プロジェクトカードを[マネー]に変換した際に獲得できる[マネー]+2</t>
        </is>
      </c>
      <c r="M10" s="3" t="inlineStr">
        <is>
          <t>concorde</t>
        </is>
      </c>
      <c r="N10" s="3">
        <f>upper(M10)</f>
        <v/>
      </c>
      <c r="O10" s="3" t="inlineStr">
        <is>
          <t>6x2=12</t>
        </is>
      </c>
    </row>
    <row r="11">
      <c r="A11" s="3" t="n">
        <v>0</v>
      </c>
      <c r="B11" s="3">
        <f>ROW()-1</f>
        <v/>
      </c>
      <c r="C11" s="3">
        <f>"S"&amp;TEXT(B11,"000")</f>
        <v/>
      </c>
      <c r="D11" s="3" t="n">
        <v>1</v>
      </c>
      <c r="E11" s="3">
        <f t="array" ref="E11">_xlfn.XLOOKUP(D11,country!$A$2:$A$6,country!$B$2:$B$6)</f>
        <v/>
      </c>
      <c r="F11" s="3">
        <f t="array" ref="F11">_xlfn.XLOOKUP(D11,country!$A$2:$A$6,country!$C$2:$C$6)</f>
        <v/>
      </c>
      <c r="G11" s="3" t="n">
        <v>25</v>
      </c>
      <c r="H11" s="3" t="n">
        <v>10</v>
      </c>
      <c r="I11" s="3" t="n">
        <v>1</v>
      </c>
      <c r="J11" s="13" t="n">
        <v>1</v>
      </c>
      <c r="K11" s="13" t="inlineStr">
        <is>
          <t>起動(予算発行)</t>
        </is>
      </c>
      <c r="L11" s="13" t="inlineStr">
        <is>
          <t>予算発行フェイズ開始時、マネー+2</t>
        </is>
      </c>
      <c r="M11" s="3" t="inlineStr">
        <is>
          <t>stealth</t>
        </is>
      </c>
      <c r="N11" s="3">
        <f>upper(M11)</f>
        <v/>
      </c>
      <c r="O11" s="3" t="inlineStr">
        <is>
          <t>2x7=14</t>
        </is>
      </c>
    </row>
    <row r="12">
      <c r="A12" s="3" t="n">
        <v>0</v>
      </c>
      <c r="B12" s="3">
        <f>ROW()-1</f>
        <v/>
      </c>
      <c r="C12" s="3">
        <f>"S"&amp;TEXT(B12,"000")</f>
        <v/>
      </c>
      <c r="D12" s="3" t="n">
        <v>2</v>
      </c>
      <c r="E12" s="3">
        <f t="array" ref="E12">_xlfn.XLOOKUP(D12,country!$A$2:$A$6,country!$B$2:$B$6)</f>
        <v/>
      </c>
      <c r="F12" s="3">
        <f t="array" ref="F12">_xlfn.XLOOKUP(D12,country!$A$2:$A$6,country!$C$2:$C$6)</f>
        <v/>
      </c>
      <c r="G12" s="3" t="n">
        <v>15</v>
      </c>
      <c r="H12" s="3" t="n">
        <v>5</v>
      </c>
      <c r="I12" s="3" t="n">
        <v>1</v>
      </c>
      <c r="J12" s="13" t="n">
        <v>1</v>
      </c>
      <c r="K12" s="13" t="inlineStr">
        <is>
          <t>起動(企画)</t>
        </is>
      </c>
      <c r="L12" s="13" t="inlineStr">
        <is>
          <t>企画のアクション選択ボーナスは「6枚引いて3枚を手札に残す」になる</t>
        </is>
      </c>
      <c r="M12" s="3" t="inlineStr">
        <is>
          <t>hammer</t>
        </is>
      </c>
      <c r="N12" s="3">
        <f>upper(M12)</f>
        <v/>
      </c>
      <c r="O12" s="3" t="inlineStr">
        <is>
          <t>3x3=9</t>
        </is>
      </c>
    </row>
    <row r="13">
      <c r="A13" s="3" t="n">
        <v>0</v>
      </c>
      <c r="B13" s="3">
        <f>ROW()-1</f>
        <v/>
      </c>
      <c r="C13" s="3">
        <f>"S"&amp;TEXT(B13,"000")</f>
        <v/>
      </c>
      <c r="D13" s="3" t="n">
        <v>2</v>
      </c>
      <c r="E13" s="3">
        <f t="array" ref="E13">_xlfn.XLOOKUP(D13,country!$A$2:$A$6,country!$B$2:$B$6)</f>
        <v/>
      </c>
      <c r="F13" s="3">
        <f t="array" ref="F13">_xlfn.XLOOKUP(D13,country!$A$2:$A$6,country!$C$2:$C$6)</f>
        <v/>
      </c>
      <c r="G13" s="3" t="n">
        <v>20</v>
      </c>
      <c r="H13" s="3" t="n">
        <v>10</v>
      </c>
      <c r="I13" s="3" t="n">
        <v>1</v>
      </c>
      <c r="J13" s="13" t="n">
        <v>1</v>
      </c>
      <c r="K13" s="13" t="inlineStr">
        <is>
          <t>起動(打上)</t>
        </is>
      </c>
      <c r="L13" s="13" t="inlineStr">
        <is>
          <t>打ち上げのアクション選択ボーナス時、予算+1</t>
        </is>
      </c>
      <c r="M13" s="3" t="inlineStr">
        <is>
          <t>retro</t>
        </is>
      </c>
      <c r="N13" s="3">
        <f>upper(M13)</f>
        <v/>
      </c>
      <c r="O13" s="3" t="n">
        <v>10</v>
      </c>
    </row>
    <row r="14">
      <c r="A14" s="3" t="n">
        <v>0</v>
      </c>
      <c r="B14" s="3">
        <f>ROW()-1</f>
        <v/>
      </c>
      <c r="C14" s="3">
        <f>"S"&amp;TEXT(B14,"000")</f>
        <v/>
      </c>
      <c r="D14" s="3" t="n">
        <v>2</v>
      </c>
      <c r="E14" s="3">
        <f t="array" ref="E14">_xlfn.XLOOKUP(D14,country!$A$2:$A$6,country!$B$2:$B$6)</f>
        <v/>
      </c>
      <c r="F14" s="3">
        <f t="array" ref="F14">_xlfn.XLOOKUP(D14,country!$A$2:$A$6,country!$C$2:$C$6)</f>
        <v/>
      </c>
      <c r="G14" s="3" t="n">
        <v>20</v>
      </c>
      <c r="H14" s="3" t="n">
        <v>10</v>
      </c>
      <c r="I14" s="3" t="n">
        <v>1</v>
      </c>
      <c r="J14" s="13" t="n">
        <v>1</v>
      </c>
      <c r="K14" s="13" t="inlineStr">
        <is>
          <t>起動(配備)</t>
        </is>
      </c>
      <c r="L14" s="13" t="inlineStr">
        <is>
          <t>配備のアクション選択ボーナス時、プロジェクトカードを1枚引く</t>
        </is>
      </c>
      <c r="M14" s="3" t="inlineStr">
        <is>
          <t>scallop</t>
        </is>
      </c>
      <c r="N14" s="3">
        <f>upper(M14)</f>
        <v/>
      </c>
      <c r="O14" s="3" t="inlineStr">
        <is>
          <t>3x3=9</t>
        </is>
      </c>
    </row>
    <row r="15">
      <c r="A15" s="3" t="n">
        <v>0</v>
      </c>
      <c r="B15" s="3">
        <f>ROW()-1</f>
        <v/>
      </c>
      <c r="C15" s="3">
        <f>"S"&amp;TEXT(B15,"000")</f>
        <v/>
      </c>
      <c r="D15" s="3" t="n">
        <v>2</v>
      </c>
      <c r="E15" s="3">
        <f t="array" ref="E15">_xlfn.XLOOKUP(D15,country!$A$2:$A$6,country!$B$2:$B$6)</f>
        <v/>
      </c>
      <c r="F15" s="3">
        <f t="array" ref="F15">_xlfn.XLOOKUP(D15,country!$A$2:$A$6,country!$C$2:$C$6)</f>
        <v/>
      </c>
      <c r="G15" s="3" t="n">
        <v>20</v>
      </c>
      <c r="H15" s="3" t="n">
        <v>10</v>
      </c>
      <c r="I15" s="3" t="n">
        <v>1</v>
      </c>
      <c r="J15" s="13" t="n">
        <v>1</v>
      </c>
      <c r="K15" s="3" t="inlineStr">
        <is>
          <t>起動(通信確立)</t>
        </is>
      </c>
      <c r="L15" s="13" t="inlineStr">
        <is>
          <t>通信確立のアクション選択ボーナスで選択できる区域は、進行方向上下に加え、隣接する全区域を含める</t>
        </is>
      </c>
      <c r="M15" s="3" t="inlineStr">
        <is>
          <t>concorde</t>
        </is>
      </c>
      <c r="N15" s="3">
        <f>upper(M15)</f>
        <v/>
      </c>
      <c r="O15" s="3" t="n">
        <v>12</v>
      </c>
    </row>
    <row r="16">
      <c r="A16" s="3" t="n">
        <v>0</v>
      </c>
      <c r="B16" s="3">
        <f>ROW()-1</f>
        <v/>
      </c>
      <c r="C16" s="3">
        <f>"S"&amp;TEXT(B16,"000")</f>
        <v/>
      </c>
      <c r="D16" s="3" t="n">
        <v>2</v>
      </c>
      <c r="E16" s="3">
        <f t="array" ref="E16">_xlfn.XLOOKUP(D16,country!$A$2:$A$6,country!$B$2:$B$6)</f>
        <v/>
      </c>
      <c r="F16" s="3">
        <f t="array" ref="F16">_xlfn.XLOOKUP(D16,country!$A$2:$A$6,country!$C$2:$C$6)</f>
        <v/>
      </c>
      <c r="G16" s="3" t="n">
        <v>30</v>
      </c>
      <c r="H16" s="3" t="n">
        <v>10</v>
      </c>
      <c r="I16" s="3" t="n">
        <v>1</v>
      </c>
      <c r="J16" s="13" t="n">
        <v>1</v>
      </c>
      <c r="K16" s="13" t="inlineStr">
        <is>
          <t>起動(予算発行)</t>
        </is>
      </c>
      <c r="L16" s="13" t="inlineStr">
        <is>
          <t>予算発行のアクション選択ボーナスで得られる[マネー]+3</t>
        </is>
      </c>
      <c r="M16" s="3" t="inlineStr">
        <is>
          <t>stealth</t>
        </is>
      </c>
      <c r="N16" s="3">
        <f>upper(M16)</f>
        <v/>
      </c>
      <c r="O16" s="3" t="inlineStr">
        <is>
          <t>3x7=21</t>
        </is>
      </c>
    </row>
    <row r="17">
      <c r="A17" s="3" t="n">
        <v>0</v>
      </c>
      <c r="B17" s="3">
        <f>ROW()-1</f>
        <v/>
      </c>
      <c r="C17" s="3">
        <f>"S"&amp;TEXT(B17,"000")</f>
        <v/>
      </c>
      <c r="D17" s="3" t="n">
        <v>3</v>
      </c>
      <c r="E17" s="3">
        <f t="array" ref="E17">_xlfn.XLOOKUP(D17,country!$A$2:$A$6,country!$B$2:$B$6)</f>
        <v/>
      </c>
      <c r="F17" s="3">
        <f t="array" ref="F17">_xlfn.XLOOKUP(D17,country!$A$2:$A$6,country!$C$2:$C$6)</f>
        <v/>
      </c>
      <c r="G17" s="3" t="n">
        <v>15</v>
      </c>
      <c r="H17" s="3" t="n">
        <v>5</v>
      </c>
      <c r="I17" s="3" t="n">
        <v>1</v>
      </c>
      <c r="J17" s="13" t="n">
        <v>1</v>
      </c>
      <c r="K17" s="13" t="inlineStr">
        <is>
          <t>起動(企画)</t>
        </is>
      </c>
      <c r="L17" s="13" t="inlineStr">
        <is>
          <t>この衛星に[Crew][Device][Software]が配備されているならば、3マネー支払えば自分で企画アクションを選択していなくてもアクション選択ボーナスを得られる</t>
        </is>
      </c>
      <c r="M17" s="3" t="inlineStr">
        <is>
          <t>hammer</t>
        </is>
      </c>
      <c r="N17" s="3">
        <f>upper(M17)</f>
        <v/>
      </c>
      <c r="O17" s="3" t="n">
        <v>10</v>
      </c>
    </row>
    <row r="18">
      <c r="A18" s="3" t="n">
        <v>0</v>
      </c>
      <c r="B18" s="3">
        <f>ROW()-1</f>
        <v/>
      </c>
      <c r="C18" s="3">
        <f>"S"&amp;TEXT(B18,"000")</f>
        <v/>
      </c>
      <c r="D18" s="3" t="n">
        <v>3</v>
      </c>
      <c r="E18" s="3">
        <f t="array" ref="E18">_xlfn.XLOOKUP(D18,country!$A$2:$A$6,country!$B$2:$B$6)</f>
        <v/>
      </c>
      <c r="F18" s="3">
        <f t="array" ref="F18">_xlfn.XLOOKUP(D18,country!$A$2:$A$6,country!$C$2:$C$6)</f>
        <v/>
      </c>
      <c r="G18" s="3" t="n">
        <v>20</v>
      </c>
      <c r="H18" s="3" t="n">
        <v>10</v>
      </c>
      <c r="I18" s="3" t="n">
        <v>1</v>
      </c>
      <c r="J18" s="13" t="n">
        <v>1</v>
      </c>
      <c r="K18" s="13" t="inlineStr">
        <is>
          <t>起動(配備)</t>
        </is>
      </c>
      <c r="L18" s="13" t="inlineStr">
        <is>
          <t>この衛星に[Crew][Device][Software]が配備されているならば、3マネー支払えば自分で配備アクションを選択していなくてもアクション選択ボーナスを得られる</t>
        </is>
      </c>
      <c r="M18" s="3" t="inlineStr">
        <is>
          <t>retro</t>
        </is>
      </c>
      <c r="N18" s="3">
        <f>upper(M18)</f>
        <v/>
      </c>
      <c r="O18" s="3" t="inlineStr">
        <is>
          <t>(5-3)x6=12</t>
        </is>
      </c>
    </row>
    <row r="19">
      <c r="A19" s="3" t="n">
        <v>0</v>
      </c>
      <c r="B19" s="3">
        <f>ROW()-1</f>
        <v/>
      </c>
      <c r="C19" s="3">
        <f>"S"&amp;TEXT(B19,"000")</f>
        <v/>
      </c>
      <c r="D19" s="3" t="n">
        <v>3</v>
      </c>
      <c r="E19" s="3">
        <f t="array" ref="E19">_xlfn.XLOOKUP(D19,country!$A$2:$A$6,country!$B$2:$B$6)</f>
        <v/>
      </c>
      <c r="F19" s="3">
        <f t="array" ref="F19">_xlfn.XLOOKUP(D19,country!$A$2:$A$6,country!$C$2:$C$6)</f>
        <v/>
      </c>
      <c r="G19" s="3" t="n">
        <v>20</v>
      </c>
      <c r="H19" s="3" t="n">
        <v>10</v>
      </c>
      <c r="I19" s="3" t="n">
        <v>1</v>
      </c>
      <c r="J19" s="13" t="n">
        <v>1</v>
      </c>
      <c r="K19" s="13" t="inlineStr">
        <is>
          <t>起動(通信確立)</t>
        </is>
      </c>
      <c r="L19" s="13" t="inlineStr">
        <is>
          <t>この衛星に[Crew][Device][Software]が配備されているならば、3マネー支払えば自分で通信確立アクションを選択していなくてもアクション選択ボーナスを得られる</t>
        </is>
      </c>
      <c r="M19" s="3" t="inlineStr">
        <is>
          <t>scallop</t>
        </is>
      </c>
      <c r="N19" s="3">
        <f>upper(M19)</f>
        <v/>
      </c>
      <c r="O19" s="3" t="inlineStr">
        <is>
          <t>(5-3)x6=12</t>
        </is>
      </c>
    </row>
    <row r="20">
      <c r="A20" s="3" t="n">
        <v>0</v>
      </c>
      <c r="B20" s="3">
        <f>ROW()-1</f>
        <v/>
      </c>
      <c r="C20" s="3">
        <f>"S"&amp;TEXT(B20,"000")</f>
        <v/>
      </c>
      <c r="D20" s="3" t="n">
        <v>3</v>
      </c>
      <c r="E20" s="3">
        <f t="array" ref="E20">_xlfn.XLOOKUP(D20,country!$A$2:$A$6,country!$B$2:$B$6)</f>
        <v/>
      </c>
      <c r="F20" s="3">
        <f t="array" ref="F20">_xlfn.XLOOKUP(D20,country!$A$2:$A$6,country!$C$2:$C$6)</f>
        <v/>
      </c>
      <c r="G20" s="3" t="n">
        <v>25</v>
      </c>
      <c r="H20" s="3" t="n">
        <v>10</v>
      </c>
      <c r="I20" s="3" t="n">
        <v>1</v>
      </c>
      <c r="J20" s="13" t="n">
        <v>1</v>
      </c>
      <c r="K20" s="13" t="inlineStr">
        <is>
          <t>起動(打ち上げ/転回)</t>
        </is>
      </c>
      <c r="L20" s="13" t="inlineStr">
        <is>
          <t>この衛星に[Crew][Device][Software]が配備されているならば、3マネー支払えば自分で打ち上げ/転回アクションを選択していなくてもアクション選択ボーナスを得られる</t>
        </is>
      </c>
      <c r="M20" s="3" t="inlineStr">
        <is>
          <t>concorde</t>
        </is>
      </c>
      <c r="N20" s="3">
        <f>upper(M20)</f>
        <v/>
      </c>
      <c r="O20" s="3" t="inlineStr">
        <is>
          <t>10+8+6+4+2-3x5=15</t>
        </is>
      </c>
    </row>
    <row r="21">
      <c r="A21" s="3" t="n">
        <v>0</v>
      </c>
      <c r="B21" s="3">
        <f>ROW()-1</f>
        <v/>
      </c>
      <c r="C21" s="3">
        <f>"S"&amp;TEXT(B21,"000")</f>
        <v/>
      </c>
      <c r="D21" s="3" t="n">
        <v>3</v>
      </c>
      <c r="E21" s="3">
        <f t="array" ref="E21">_xlfn.XLOOKUP(D21,country!$A$2:$A$6,country!$B$2:$B$6)</f>
        <v/>
      </c>
      <c r="F21" s="3">
        <f t="array" ref="F21">_xlfn.XLOOKUP(D21,country!$A$2:$A$6,country!$C$2:$C$6)</f>
        <v/>
      </c>
      <c r="G21" s="3" t="n">
        <v>25</v>
      </c>
      <c r="H21" s="3" t="n">
        <v>10</v>
      </c>
      <c r="I21" s="3" t="n">
        <v>1</v>
      </c>
      <c r="J21" s="13" t="n">
        <v>1</v>
      </c>
      <c r="K21" s="13" t="inlineStr">
        <is>
          <t>起動(予算発行)</t>
        </is>
      </c>
      <c r="L21" s="13" t="inlineStr">
        <is>
          <t>この衛星に[Crew][Device][Software]が配備されているならば、3マネー支払えば自分で予算発行アクションを選択していなくてもアクション選択ボーナスを得られる</t>
        </is>
      </c>
      <c r="M21" s="3" t="inlineStr">
        <is>
          <t>stealth</t>
        </is>
      </c>
      <c r="N21" s="3">
        <f>upper(M21)</f>
        <v/>
      </c>
      <c r="O21" s="3" t="inlineStr">
        <is>
          <t>(6-3)x6=18</t>
        </is>
      </c>
    </row>
    <row r="22">
      <c r="A22" s="3" t="n">
        <v>0</v>
      </c>
      <c r="B22" s="3">
        <f>ROW()-1</f>
        <v/>
      </c>
      <c r="C22" s="3">
        <f>"S"&amp;TEXT(B22,"000")</f>
        <v/>
      </c>
      <c r="D22" s="3" t="n">
        <v>4</v>
      </c>
      <c r="E22" s="3">
        <f t="array" ref="E22">_xlfn.XLOOKUP(D22,country!$A$2:$A$6,country!$B$2:$B$6)</f>
        <v/>
      </c>
      <c r="F22" s="3">
        <f t="array" ref="F22">_xlfn.XLOOKUP(D22,country!$A$2:$A$6,country!$C$2:$C$6)</f>
        <v/>
      </c>
      <c r="G22" s="3" t="n">
        <v>15</v>
      </c>
      <c r="H22" s="3" t="n">
        <v>5</v>
      </c>
      <c r="I22" s="3" t="n">
        <v>1</v>
      </c>
      <c r="J22" s="13" t="n">
        <v>1</v>
      </c>
      <c r="K22" s="13" t="inlineStr">
        <is>
          <t>起動(通信確立)</t>
        </is>
      </c>
      <c r="L22" s="13" t="inlineStr">
        <is>
          <t>この衛星が地域A,C,E,Gの通信確立する際、通信確立コスト-2</t>
        </is>
      </c>
      <c r="M22" s="3" t="inlineStr">
        <is>
          <t>hammer</t>
        </is>
      </c>
      <c r="N22" s="3">
        <f>upper(M22)</f>
        <v/>
      </c>
      <c r="O22" s="3" t="inlineStr">
        <is>
          <t>5x2=10</t>
        </is>
      </c>
    </row>
    <row r="23">
      <c r="A23" s="3" t="n">
        <v>0</v>
      </c>
      <c r="B23" s="3">
        <f>ROW()-1</f>
        <v/>
      </c>
      <c r="C23" s="3">
        <f>"S"&amp;TEXT(B23,"000")</f>
        <v/>
      </c>
      <c r="D23" s="3" t="n">
        <v>4</v>
      </c>
      <c r="E23" s="3">
        <f t="array" ref="E23">_xlfn.XLOOKUP(D23,country!$A$2:$A$6,country!$B$2:$B$6)</f>
        <v/>
      </c>
      <c r="F23" s="3">
        <f t="array" ref="F23">_xlfn.XLOOKUP(D23,country!$A$2:$A$6,country!$C$2:$C$6)</f>
        <v/>
      </c>
      <c r="G23" s="3" t="n">
        <v>15</v>
      </c>
      <c r="H23" s="3" t="n">
        <v>5</v>
      </c>
      <c r="I23" s="3" t="n">
        <v>1</v>
      </c>
      <c r="J23" s="13" t="n">
        <v>1</v>
      </c>
      <c r="K23" s="13" t="inlineStr">
        <is>
          <t>起動(通信確立)</t>
        </is>
      </c>
      <c r="L23" s="13" t="inlineStr">
        <is>
          <t>この衛星が地域B,D,F,Hの通信確立する際、通信確立コスト-2</t>
        </is>
      </c>
      <c r="M23" s="3" t="inlineStr">
        <is>
          <t>retro</t>
        </is>
      </c>
      <c r="N23" s="3">
        <f>upper(M23)</f>
        <v/>
      </c>
      <c r="O23" s="3" t="inlineStr">
        <is>
          <t>5x2=10</t>
        </is>
      </c>
    </row>
    <row r="24">
      <c r="A24" s="3" t="n">
        <v>0</v>
      </c>
      <c r="B24" s="3">
        <f>ROW()-1</f>
        <v/>
      </c>
      <c r="C24" s="3">
        <f>"S"&amp;TEXT(B24,"000")</f>
        <v/>
      </c>
      <c r="D24" s="3" t="n">
        <v>4</v>
      </c>
      <c r="E24" s="3">
        <f t="array" ref="E24">_xlfn.XLOOKUP(D24,country!$A$2:$A$6,country!$B$2:$B$6)</f>
        <v/>
      </c>
      <c r="F24" s="3">
        <f t="array" ref="F24">_xlfn.XLOOKUP(D24,country!$A$2:$A$6,country!$C$2:$C$6)</f>
        <v/>
      </c>
      <c r="G24" s="3" t="n">
        <v>20</v>
      </c>
      <c r="H24" s="3" t="n">
        <v>10</v>
      </c>
      <c r="I24" s="3" t="n">
        <v>1</v>
      </c>
      <c r="J24" s="13" t="n">
        <v>1</v>
      </c>
      <c r="K24" s="13" t="inlineStr">
        <is>
          <t>起動(通信確立)</t>
        </is>
      </c>
      <c r="L24" s="13" t="inlineStr">
        <is>
          <t>この衛星が陸区域の通信確立する際、通信確立コスト-3</t>
        </is>
      </c>
      <c r="M24" s="3" t="inlineStr">
        <is>
          <t>scallop</t>
        </is>
      </c>
      <c r="N24" s="3">
        <f>upper(M24)</f>
        <v/>
      </c>
      <c r="O24" s="3" t="inlineStr">
        <is>
          <t>3x4=12</t>
        </is>
      </c>
    </row>
    <row r="25">
      <c r="A25" s="3" t="n">
        <v>0</v>
      </c>
      <c r="B25" s="3">
        <f>ROW()-1</f>
        <v/>
      </c>
      <c r="C25" s="3">
        <f>"S"&amp;TEXT(B25,"000")</f>
        <v/>
      </c>
      <c r="D25" s="3" t="n">
        <v>4</v>
      </c>
      <c r="E25" s="3">
        <f t="array" ref="E25">_xlfn.XLOOKUP(D25,country!$A$2:$A$6,country!$B$2:$B$6)</f>
        <v/>
      </c>
      <c r="F25" s="3">
        <f t="array" ref="F25">_xlfn.XLOOKUP(D25,country!$A$2:$A$6,country!$C$2:$C$6)</f>
        <v/>
      </c>
      <c r="G25" s="3" t="n">
        <v>20</v>
      </c>
      <c r="H25" s="3" t="n">
        <v>10</v>
      </c>
      <c r="I25" s="3" t="n">
        <v>1</v>
      </c>
      <c r="J25" s="13" t="n">
        <v>1</v>
      </c>
      <c r="K25" s="13" t="inlineStr">
        <is>
          <t>起動(通信確立)</t>
        </is>
      </c>
      <c r="L25" s="13" t="inlineStr">
        <is>
          <t>この衛星が海区域の通信確立する際、通信確立コスト-2</t>
        </is>
      </c>
      <c r="M25" s="3" t="inlineStr">
        <is>
          <t>concorde</t>
        </is>
      </c>
      <c r="N25" s="3">
        <f>upper(M25)</f>
        <v/>
      </c>
      <c r="O25" s="3" t="inlineStr">
        <is>
          <t>6x2=12</t>
        </is>
      </c>
    </row>
    <row r="26">
      <c r="A26" s="3" t="n">
        <v>0</v>
      </c>
      <c r="B26" s="3">
        <f>ROW()-1</f>
        <v/>
      </c>
      <c r="C26" s="3">
        <f>"S"&amp;TEXT(B26,"000")</f>
        <v/>
      </c>
      <c r="D26" s="3" t="n">
        <v>4</v>
      </c>
      <c r="E26" s="3">
        <f t="array" ref="E26">_xlfn.XLOOKUP(D26,country!$A$2:$A$6,country!$B$2:$B$6)</f>
        <v/>
      </c>
      <c r="F26" s="3">
        <f t="array" ref="F26">_xlfn.XLOOKUP(D26,country!$A$2:$A$6,country!$C$2:$C$6)</f>
        <v/>
      </c>
      <c r="G26" s="3" t="n">
        <v>30</v>
      </c>
      <c r="H26" s="3" t="n">
        <v>15</v>
      </c>
      <c r="I26" s="3" t="n">
        <v>1</v>
      </c>
      <c r="J26" s="13" t="n">
        <v>1</v>
      </c>
      <c r="K26" s="13" t="inlineStr">
        <is>
          <t>起動(通信確立)</t>
        </is>
      </c>
      <c r="L26" s="13" t="inlineStr">
        <is>
          <t>この衛星が通信確立する際、通信確立コスト-2</t>
        </is>
      </c>
      <c r="M26" s="3" t="inlineStr">
        <is>
          <t>stealth</t>
        </is>
      </c>
      <c r="N26" s="3">
        <f>upper(M26)</f>
        <v/>
      </c>
      <c r="O26" s="3" t="inlineStr">
        <is>
          <t>2x8=16</t>
        </is>
      </c>
    </row>
    <row r="27">
      <c r="J27" s="13" t="n"/>
      <c r="K27" s="13" t="n"/>
      <c r="L27" s="13" t="n"/>
    </row>
    <row r="28">
      <c r="J28" s="13" t="n"/>
      <c r="K28" s="13" t="n"/>
      <c r="L28" s="13" t="n"/>
    </row>
    <row r="29">
      <c r="J29" s="13" t="n"/>
      <c r="K29" s="13" t="n"/>
      <c r="L29" s="13" t="n"/>
    </row>
    <row r="30">
      <c r="J30" s="13" t="n"/>
      <c r="K30" s="13" t="n"/>
      <c r="L30" s="13" t="n"/>
    </row>
    <row r="31">
      <c r="J31" s="13" t="n"/>
      <c r="K31" s="13" t="n"/>
      <c r="L31" s="13" t="n"/>
    </row>
    <row r="32">
      <c r="J32" s="13" t="n"/>
      <c r="K32" s="13" t="n"/>
      <c r="L32" s="13" t="n"/>
    </row>
    <row r="33">
      <c r="J33" s="13" t="n"/>
      <c r="K33" s="13" t="n"/>
      <c r="L33" s="13" t="n"/>
    </row>
    <row r="34">
      <c r="J34" s="13" t="n"/>
      <c r="K34" s="13" t="n"/>
      <c r="L34" s="13" t="n"/>
    </row>
    <row r="35">
      <c r="J35" s="13" t="n"/>
      <c r="K35" s="13" t="n"/>
      <c r="L35" s="13" t="n"/>
    </row>
    <row r="36">
      <c r="J36" s="13" t="n"/>
      <c r="K36" s="13" t="n"/>
      <c r="L36" s="13" t="n"/>
    </row>
    <row r="37">
      <c r="J37" s="13" t="n"/>
      <c r="K37" s="13" t="n"/>
      <c r="L37" s="13" t="n"/>
    </row>
    <row r="38">
      <c r="J38" s="13" t="n"/>
      <c r="K38" s="13" t="n"/>
      <c r="L38" s="13" t="n"/>
    </row>
    <row r="39">
      <c r="J39" s="13" t="n"/>
      <c r="K39" s="13" t="n"/>
      <c r="L39" s="13" t="n"/>
    </row>
    <row r="40">
      <c r="J40" s="13" t="n"/>
      <c r="K40" s="13" t="n"/>
      <c r="L40" s="13" t="n"/>
    </row>
    <row r="41">
      <c r="J41" s="13" t="n"/>
      <c r="K41" s="13" t="n"/>
      <c r="L41" s="13" t="n"/>
    </row>
    <row r="42">
      <c r="J42" s="13" t="n"/>
      <c r="K42" s="13" t="n"/>
      <c r="L42" s="13" t="n"/>
    </row>
    <row r="43">
      <c r="J43" s="13" t="n"/>
      <c r="K43" s="13" t="n"/>
      <c r="L43" s="13" t="n"/>
    </row>
    <row r="44">
      <c r="J44" s="13" t="n"/>
      <c r="K44" s="13" t="n"/>
      <c r="L44" s="13" t="n"/>
    </row>
    <row r="45">
      <c r="J45" s="13" t="n"/>
      <c r="K45" s="13" t="n"/>
      <c r="L45" s="13" t="n"/>
    </row>
    <row r="46">
      <c r="J46" s="13" t="n"/>
      <c r="K46" s="13" t="n"/>
      <c r="L46" s="13" t="n"/>
    </row>
    <row r="47">
      <c r="J47" s="13" t="n"/>
      <c r="K47" s="13" t="n"/>
      <c r="L47" s="13" t="n"/>
    </row>
    <row r="48">
      <c r="J48" s="13" t="n"/>
      <c r="K48" s="13" t="n"/>
      <c r="L48" s="13" t="n"/>
    </row>
    <row r="49">
      <c r="J49" s="13" t="n"/>
      <c r="K49" s="13" t="n"/>
      <c r="L49" s="13" t="n"/>
    </row>
    <row r="50">
      <c r="J50" s="13" t="n"/>
      <c r="K50" s="13" t="n"/>
      <c r="L50" s="13" t="n"/>
    </row>
    <row r="51">
      <c r="J51" s="13" t="n"/>
      <c r="K51" s="13" t="n"/>
      <c r="L51" s="13" t="n"/>
    </row>
    <row r="52">
      <c r="J52" s="13" t="n"/>
      <c r="K52" s="13" t="n"/>
      <c r="L52" s="13" t="n"/>
    </row>
    <row r="53">
      <c r="J53" s="13" t="n"/>
      <c r="K53" s="13" t="n"/>
      <c r="L53" s="13" t="n"/>
    </row>
    <row r="54">
      <c r="J54" s="13" t="n"/>
      <c r="K54" s="13" t="n"/>
      <c r="L54" s="13" t="n"/>
    </row>
    <row r="55">
      <c r="J55" s="13" t="n"/>
      <c r="K55" s="13" t="n"/>
      <c r="L55" s="13" t="n"/>
    </row>
    <row r="56">
      <c r="J56" s="13" t="n"/>
      <c r="K56" s="13" t="n"/>
      <c r="L56" s="13" t="n"/>
    </row>
    <row r="57">
      <c r="J57" s="13" t="n"/>
      <c r="K57" s="13" t="n"/>
      <c r="L57" s="13" t="n"/>
    </row>
    <row r="58">
      <c r="J58" s="13" t="n"/>
      <c r="K58" s="13" t="n"/>
      <c r="L58" s="13" t="n"/>
    </row>
    <row r="59">
      <c r="J59" s="13" t="n"/>
      <c r="K59" s="13" t="n"/>
      <c r="L59" s="13" t="n"/>
    </row>
    <row r="60">
      <c r="J60" s="13" t="n"/>
      <c r="K60" s="13" t="n"/>
      <c r="L60" s="13" t="n"/>
    </row>
    <row r="61">
      <c r="J61" s="13" t="n"/>
      <c r="K61" s="13" t="n"/>
      <c r="L61" s="13" t="n"/>
    </row>
    <row r="62">
      <c r="J62" s="13" t="n"/>
      <c r="K62" s="13" t="n"/>
      <c r="L62" s="13" t="n"/>
    </row>
    <row r="63">
      <c r="J63" s="13" t="n"/>
      <c r="K63" s="13" t="n"/>
      <c r="L63" s="13" t="n"/>
    </row>
    <row r="64">
      <c r="J64" s="13" t="n"/>
      <c r="K64" s="13" t="n"/>
      <c r="L64" s="13" t="n"/>
    </row>
    <row r="65">
      <c r="J65" s="13" t="n"/>
      <c r="K65" s="13" t="n"/>
      <c r="L65" s="13" t="n"/>
    </row>
    <row r="66">
      <c r="J66" s="13" t="n"/>
      <c r="K66" s="13" t="n"/>
      <c r="L66" s="13" t="n"/>
    </row>
    <row r="67">
      <c r="J67" s="13" t="n"/>
      <c r="K67" s="13" t="n"/>
      <c r="L67" s="13" t="n"/>
    </row>
    <row r="68">
      <c r="J68" s="13" t="n"/>
      <c r="K68" s="13" t="n"/>
      <c r="L68" s="13" t="n"/>
    </row>
    <row r="69">
      <c r="J69" s="13" t="n"/>
      <c r="K69" s="13" t="n"/>
      <c r="L69" s="13" t="n"/>
    </row>
    <row r="70">
      <c r="J70" s="13" t="n"/>
      <c r="K70" s="13" t="n"/>
      <c r="L70" s="13" t="n"/>
    </row>
    <row r="71">
      <c r="J71" s="13" t="n"/>
      <c r="K71" s="13" t="n"/>
      <c r="L71" s="13" t="n"/>
    </row>
    <row r="72">
      <c r="J72" s="13" t="n"/>
      <c r="K72" s="13" t="n"/>
      <c r="L72" s="13" t="n"/>
    </row>
    <row r="73">
      <c r="J73" s="13" t="n"/>
      <c r="K73" s="13" t="n"/>
      <c r="L73" s="13" t="n"/>
    </row>
    <row r="74">
      <c r="J74" s="13" t="n"/>
      <c r="K74" s="13" t="n"/>
      <c r="L74" s="13" t="n"/>
    </row>
    <row r="75">
      <c r="J75" s="13" t="n"/>
      <c r="K75" s="13" t="n"/>
      <c r="L75" s="13" t="n"/>
    </row>
    <row r="76">
      <c r="J76" s="13" t="n"/>
      <c r="K76" s="13" t="n"/>
      <c r="L76" s="13" t="n"/>
    </row>
    <row r="77">
      <c r="J77" s="13" t="n"/>
      <c r="K77" s="13" t="n"/>
      <c r="L77" s="13" t="n"/>
    </row>
    <row r="78">
      <c r="J78" s="13" t="n"/>
      <c r="K78" s="13" t="n"/>
      <c r="L78" s="13" t="n"/>
    </row>
    <row r="79">
      <c r="J79" s="13" t="n"/>
      <c r="K79" s="13" t="n"/>
      <c r="L79" s="13" t="n"/>
    </row>
    <row r="80">
      <c r="J80" s="13" t="n"/>
      <c r="K80" s="13" t="n"/>
      <c r="L80" s="13" t="n"/>
    </row>
    <row r="81">
      <c r="J81" s="13" t="n"/>
      <c r="K81" s="13" t="n"/>
      <c r="L81" s="13" t="n"/>
    </row>
    <row r="82">
      <c r="J82" s="13" t="n"/>
      <c r="K82" s="13" t="n"/>
      <c r="L82" s="13" t="n"/>
    </row>
    <row r="83">
      <c r="J83" s="13" t="n"/>
      <c r="K83" s="13" t="n"/>
      <c r="L83" s="13" t="n"/>
    </row>
    <row r="84">
      <c r="J84" s="13" t="n"/>
      <c r="K84" s="13" t="n"/>
      <c r="L84" s="13" t="n"/>
    </row>
    <row r="85">
      <c r="J85" s="13" t="n"/>
      <c r="K85" s="13" t="n"/>
      <c r="L85" s="13" t="n"/>
    </row>
    <row r="86">
      <c r="J86" s="13" t="n"/>
      <c r="K86" s="13" t="n"/>
      <c r="L86" s="13" t="n"/>
    </row>
    <row r="87">
      <c r="J87" s="13" t="n"/>
      <c r="K87" s="13" t="n"/>
      <c r="L87" s="13" t="n"/>
    </row>
    <row r="88">
      <c r="J88" s="13" t="n"/>
      <c r="K88" s="13" t="n"/>
      <c r="L88" s="13" t="n"/>
    </row>
    <row r="89">
      <c r="J89" s="13" t="n"/>
      <c r="K89" s="13" t="n"/>
      <c r="L89" s="13" t="n"/>
    </row>
    <row r="90">
      <c r="J90" s="13" t="n"/>
      <c r="K90" s="13" t="n"/>
      <c r="L90" s="13" t="n"/>
    </row>
    <row r="91">
      <c r="J91" s="13" t="n"/>
      <c r="K91" s="13" t="n"/>
      <c r="L91" s="13" t="n"/>
    </row>
    <row r="92">
      <c r="J92" s="13" t="n"/>
      <c r="K92" s="13" t="n"/>
      <c r="L92" s="13" t="n"/>
    </row>
    <row r="93">
      <c r="J93" s="13" t="n"/>
      <c r="K93" s="13" t="n"/>
      <c r="L93" s="13" t="n"/>
    </row>
    <row r="94">
      <c r="J94" s="13" t="n"/>
      <c r="K94" s="13" t="n"/>
      <c r="L94" s="13" t="n"/>
    </row>
    <row r="95">
      <c r="J95" s="13" t="n"/>
      <c r="K95" s="13" t="n"/>
      <c r="L95" s="13" t="n"/>
    </row>
    <row r="96">
      <c r="J96" s="13" t="n"/>
      <c r="K96" s="13" t="n"/>
      <c r="L96" s="13" t="n"/>
    </row>
    <row r="97">
      <c r="J97" s="13" t="n"/>
      <c r="K97" s="13" t="n"/>
      <c r="L97" s="13" t="n"/>
    </row>
    <row r="98">
      <c r="J98" s="13" t="n"/>
      <c r="K98" s="13" t="n"/>
      <c r="L98" s="13" t="n"/>
    </row>
    <row r="99">
      <c r="J99" s="13" t="n"/>
      <c r="K99" s="13" t="n"/>
      <c r="L99" s="13" t="n"/>
    </row>
    <row r="100">
      <c r="J100" s="13" t="n"/>
      <c r="K100" s="13" t="n"/>
      <c r="L100" s="13" t="n"/>
    </row>
    <row r="101">
      <c r="J101" s="13" t="n"/>
      <c r="K101" s="13" t="n"/>
      <c r="L101" s="13" t="n"/>
    </row>
    <row r="102">
      <c r="J102" s="13" t="n"/>
      <c r="K102" s="13" t="n"/>
      <c r="L102" s="13" t="n"/>
    </row>
    <row r="103">
      <c r="J103" s="13" t="n"/>
      <c r="K103" s="13" t="n"/>
      <c r="L103" s="13" t="n"/>
    </row>
    <row r="104">
      <c r="J104" s="13" t="n"/>
      <c r="K104" s="13" t="n"/>
      <c r="L104" s="13" t="n"/>
    </row>
    <row r="105">
      <c r="J105" s="13" t="n"/>
      <c r="K105" s="13" t="n"/>
      <c r="L105" s="13" t="n"/>
    </row>
    <row r="106">
      <c r="J106" s="13" t="n"/>
      <c r="K106" s="13" t="n"/>
      <c r="L106" s="13" t="n"/>
    </row>
    <row r="107">
      <c r="J107" s="13" t="n"/>
      <c r="K107" s="13" t="n"/>
      <c r="L107" s="13" t="n"/>
    </row>
    <row r="108">
      <c r="J108" s="13" t="n"/>
      <c r="K108" s="13" t="n"/>
      <c r="L108" s="13" t="n"/>
    </row>
    <row r="109">
      <c r="J109" s="13" t="n"/>
      <c r="K109" s="13" t="n"/>
      <c r="L109" s="13" t="n"/>
    </row>
    <row r="110">
      <c r="J110" s="13" t="n"/>
      <c r="K110" s="13" t="n"/>
      <c r="L110" s="13" t="n"/>
    </row>
    <row r="111">
      <c r="J111" s="13" t="n"/>
      <c r="K111" s="13" t="n"/>
      <c r="L111" s="13" t="n"/>
    </row>
    <row r="112">
      <c r="J112" s="13" t="n"/>
      <c r="K112" s="13" t="n"/>
      <c r="L112" s="13" t="n"/>
    </row>
    <row r="113">
      <c r="J113" s="13" t="n"/>
      <c r="K113" s="13" t="n"/>
      <c r="L113" s="13" t="n"/>
    </row>
    <row r="114">
      <c r="J114" s="13" t="n"/>
      <c r="K114" s="13" t="n"/>
      <c r="L114" s="13" t="n"/>
    </row>
    <row r="115">
      <c r="J115" s="13" t="n"/>
      <c r="K115" s="13" t="n"/>
      <c r="L115" s="13" t="n"/>
    </row>
    <row r="116">
      <c r="J116" s="13" t="n"/>
      <c r="K116" s="13" t="n"/>
      <c r="L116" s="13" t="n"/>
    </row>
    <row r="117">
      <c r="J117" s="13" t="n"/>
      <c r="K117" s="13" t="n"/>
      <c r="L117" s="13" t="n"/>
    </row>
    <row r="118">
      <c r="J118" s="13" t="n"/>
      <c r="K118" s="13" t="n"/>
      <c r="L118" s="13" t="n"/>
    </row>
    <row r="119">
      <c r="J119" s="13" t="n"/>
      <c r="K119" s="13" t="n"/>
      <c r="L119" s="13" t="n"/>
    </row>
    <row r="120">
      <c r="J120" s="13" t="n"/>
      <c r="K120" s="13" t="n"/>
      <c r="L120" s="13" t="n"/>
    </row>
    <row r="121">
      <c r="J121" s="13" t="n"/>
      <c r="K121" s="13" t="n"/>
      <c r="L121" s="13" t="n"/>
    </row>
    <row r="122">
      <c r="J122" s="13" t="n"/>
      <c r="K122" s="13" t="n"/>
      <c r="L122" s="13" t="n"/>
    </row>
    <row r="123">
      <c r="J123" s="13" t="n"/>
      <c r="K123" s="13" t="n"/>
      <c r="L123" s="13" t="n"/>
    </row>
    <row r="124">
      <c r="J124" s="13" t="n"/>
      <c r="K124" s="13" t="n"/>
      <c r="L124" s="13" t="n"/>
    </row>
    <row r="125">
      <c r="J125" s="13" t="n"/>
      <c r="K125" s="13" t="n"/>
      <c r="L125" s="13" t="n"/>
    </row>
    <row r="126">
      <c r="J126" s="13" t="n"/>
      <c r="K126" s="13" t="n"/>
      <c r="L126" s="13" t="n"/>
    </row>
    <row r="127">
      <c r="J127" s="13" t="n"/>
      <c r="K127" s="13" t="n"/>
      <c r="L127" s="13" t="n"/>
    </row>
    <row r="128">
      <c r="J128" s="13" t="n"/>
      <c r="K128" s="13" t="n"/>
      <c r="L128" s="13" t="n"/>
    </row>
    <row r="129">
      <c r="J129" s="13" t="n"/>
      <c r="K129" s="13" t="n"/>
      <c r="L129" s="13" t="n"/>
    </row>
    <row r="130">
      <c r="J130" s="13" t="n"/>
      <c r="K130" s="13" t="n"/>
      <c r="L130" s="13" t="n"/>
    </row>
    <row r="131">
      <c r="J131" s="13" t="n"/>
      <c r="K131" s="13" t="n"/>
      <c r="L131" s="13" t="n"/>
    </row>
    <row r="132">
      <c r="J132" s="13" t="n"/>
      <c r="K132" s="13" t="n"/>
      <c r="L132" s="13" t="n"/>
    </row>
    <row r="133">
      <c r="J133" s="13" t="n"/>
      <c r="K133" s="13" t="n"/>
      <c r="L133" s="13" t="n"/>
    </row>
    <row r="134">
      <c r="J134" s="13" t="n"/>
      <c r="K134" s="13" t="n"/>
      <c r="L134" s="13" t="n"/>
    </row>
    <row r="135">
      <c r="J135" s="13" t="n"/>
      <c r="K135" s="13" t="n"/>
      <c r="L135" s="13" t="n"/>
    </row>
    <row r="136">
      <c r="J136" s="13" t="n"/>
      <c r="K136" s="13" t="n"/>
      <c r="L136" s="13" t="n"/>
    </row>
    <row r="137">
      <c r="J137" s="13" t="n"/>
      <c r="K137" s="13" t="n"/>
      <c r="L137" s="13" t="n"/>
    </row>
    <row r="138">
      <c r="J138" s="13" t="n"/>
      <c r="K138" s="13" t="n"/>
      <c r="L138" s="13" t="n"/>
    </row>
    <row r="139">
      <c r="J139" s="13" t="n"/>
      <c r="K139" s="13" t="n"/>
      <c r="L139" s="13" t="n"/>
    </row>
    <row r="140">
      <c r="J140" s="13" t="n"/>
      <c r="K140" s="13" t="n"/>
      <c r="L140" s="13" t="n"/>
    </row>
    <row r="141">
      <c r="J141" s="13" t="n"/>
      <c r="K141" s="13" t="n"/>
      <c r="L141" s="13" t="n"/>
    </row>
    <row r="142">
      <c r="J142" s="13" t="n"/>
      <c r="K142" s="13" t="n"/>
      <c r="L142" s="13" t="n"/>
    </row>
    <row r="143">
      <c r="J143" s="13" t="n"/>
      <c r="K143" s="13" t="n"/>
      <c r="L143" s="13" t="n"/>
    </row>
    <row r="144">
      <c r="J144" s="13" t="n"/>
      <c r="K144" s="13" t="n"/>
      <c r="L144" s="13" t="n"/>
    </row>
    <row r="145">
      <c r="J145" s="13" t="n"/>
      <c r="K145" s="13" t="n"/>
      <c r="L145" s="13" t="n"/>
    </row>
    <row r="146">
      <c r="J146" s="13" t="n"/>
      <c r="K146" s="13" t="n"/>
      <c r="L146" s="13" t="n"/>
    </row>
    <row r="147">
      <c r="J147" s="13" t="n"/>
      <c r="K147" s="13" t="n"/>
      <c r="L147" s="13" t="n"/>
    </row>
    <row r="148">
      <c r="J148" s="13" t="n"/>
      <c r="K148" s="13" t="n"/>
      <c r="L148" s="13" t="n"/>
    </row>
    <row r="149">
      <c r="J149" s="13" t="n"/>
      <c r="K149" s="13" t="n"/>
      <c r="L149" s="13" t="n"/>
    </row>
    <row r="150">
      <c r="J150" s="13" t="n"/>
      <c r="K150" s="13" t="n"/>
      <c r="L150" s="13" t="n"/>
    </row>
    <row r="151">
      <c r="J151" s="13" t="n"/>
      <c r="K151" s="13" t="n"/>
      <c r="L151" s="13" t="n"/>
    </row>
    <row r="152">
      <c r="J152" s="13" t="n"/>
      <c r="K152" s="13" t="n"/>
      <c r="L152" s="13" t="n"/>
    </row>
    <row r="153">
      <c r="J153" s="13" t="n"/>
      <c r="K153" s="13" t="n"/>
      <c r="L153" s="13" t="n"/>
    </row>
    <row r="154">
      <c r="J154" s="13" t="n"/>
      <c r="K154" s="13" t="n"/>
      <c r="L154" s="13" t="n"/>
    </row>
    <row r="155">
      <c r="J155" s="13" t="n"/>
      <c r="K155" s="13" t="n"/>
      <c r="L155" s="13" t="n"/>
    </row>
    <row r="156">
      <c r="J156" s="13" t="n"/>
      <c r="K156" s="13" t="n"/>
      <c r="L156" s="13" t="n"/>
    </row>
    <row r="157">
      <c r="J157" s="13" t="n"/>
      <c r="K157" s="13" t="n"/>
      <c r="L157" s="13" t="n"/>
    </row>
    <row r="158">
      <c r="J158" s="13" t="n"/>
      <c r="K158" s="13" t="n"/>
      <c r="L158" s="13" t="n"/>
    </row>
    <row r="159">
      <c r="J159" s="13" t="n"/>
      <c r="K159" s="13" t="n"/>
      <c r="L159" s="13" t="n"/>
    </row>
    <row r="160">
      <c r="J160" s="13" t="n"/>
      <c r="K160" s="13" t="n"/>
      <c r="L160" s="13" t="n"/>
    </row>
    <row r="161">
      <c r="J161" s="13" t="n"/>
      <c r="K161" s="13" t="n"/>
      <c r="L161" s="13" t="n"/>
    </row>
    <row r="162">
      <c r="J162" s="13" t="n"/>
      <c r="K162" s="13" t="n"/>
      <c r="L162" s="13" t="n"/>
    </row>
    <row r="163">
      <c r="J163" s="13" t="n"/>
      <c r="K163" s="13" t="n"/>
      <c r="L163" s="13" t="n"/>
    </row>
    <row r="164">
      <c r="J164" s="13" t="n"/>
      <c r="K164" s="13" t="n"/>
      <c r="L164" s="13" t="n"/>
    </row>
    <row r="165">
      <c r="J165" s="13" t="n"/>
      <c r="K165" s="13" t="n"/>
      <c r="L165" s="13" t="n"/>
    </row>
    <row r="166">
      <c r="J166" s="13" t="n"/>
      <c r="K166" s="13" t="n"/>
      <c r="L166" s="13" t="n"/>
    </row>
    <row r="167">
      <c r="J167" s="13" t="n"/>
      <c r="K167" s="13" t="n"/>
      <c r="L167" s="13" t="n"/>
    </row>
    <row r="168">
      <c r="J168" s="13" t="n"/>
      <c r="K168" s="13" t="n"/>
      <c r="L168" s="13" t="n"/>
    </row>
    <row r="169">
      <c r="J169" s="13" t="n"/>
      <c r="K169" s="13" t="n"/>
      <c r="L169" s="13" t="n"/>
    </row>
    <row r="170">
      <c r="J170" s="13" t="n"/>
      <c r="K170" s="13" t="n"/>
      <c r="L170" s="13" t="n"/>
    </row>
    <row r="171">
      <c r="J171" s="13" t="n"/>
      <c r="K171" s="13" t="n"/>
      <c r="L171" s="13" t="n"/>
    </row>
    <row r="172">
      <c r="J172" s="13" t="n"/>
      <c r="K172" s="13" t="n"/>
      <c r="L172" s="13" t="n"/>
    </row>
    <row r="173">
      <c r="J173" s="13" t="n"/>
      <c r="K173" s="13" t="n"/>
      <c r="L173" s="13" t="n"/>
    </row>
    <row r="174">
      <c r="J174" s="13" t="n"/>
      <c r="K174" s="13" t="n"/>
      <c r="L174" s="13" t="n"/>
    </row>
    <row r="175">
      <c r="J175" s="13" t="n"/>
      <c r="K175" s="13" t="n"/>
      <c r="L175" s="13" t="n"/>
    </row>
    <row r="176">
      <c r="J176" s="13" t="n"/>
      <c r="K176" s="13" t="n"/>
      <c r="L176" s="13" t="n"/>
    </row>
    <row r="177">
      <c r="J177" s="13" t="n"/>
      <c r="K177" s="13" t="n"/>
      <c r="L177" s="13" t="n"/>
    </row>
    <row r="178">
      <c r="J178" s="13" t="n"/>
      <c r="K178" s="13" t="n"/>
      <c r="L178" s="13" t="n"/>
    </row>
    <row r="179">
      <c r="J179" s="13" t="n"/>
      <c r="K179" s="13" t="n"/>
      <c r="L179" s="13" t="n"/>
    </row>
    <row r="180">
      <c r="J180" s="13" t="n"/>
      <c r="K180" s="13" t="n"/>
      <c r="L180" s="13" t="n"/>
    </row>
    <row r="181">
      <c r="J181" s="13" t="n"/>
      <c r="K181" s="13" t="n"/>
      <c r="L181" s="13" t="n"/>
    </row>
    <row r="182">
      <c r="J182" s="13" t="n"/>
      <c r="K182" s="13" t="n"/>
      <c r="L182" s="13" t="n"/>
    </row>
    <row r="183">
      <c r="J183" s="13" t="n"/>
      <c r="K183" s="13" t="n"/>
      <c r="L183" s="13" t="n"/>
    </row>
    <row r="184">
      <c r="J184" s="13" t="n"/>
      <c r="K184" s="13" t="n"/>
      <c r="L184" s="13" t="n"/>
    </row>
    <row r="185">
      <c r="J185" s="13" t="n"/>
      <c r="K185" s="13" t="n"/>
      <c r="L185" s="13" t="n"/>
    </row>
    <row r="186">
      <c r="J186" s="13" t="n"/>
      <c r="K186" s="13" t="n"/>
      <c r="L186" s="13" t="n"/>
    </row>
    <row r="187">
      <c r="J187" s="13" t="n"/>
      <c r="K187" s="13" t="n"/>
      <c r="L187" s="13" t="n"/>
    </row>
    <row r="188">
      <c r="J188" s="13" t="n"/>
      <c r="K188" s="13" t="n"/>
      <c r="L188" s="13" t="n"/>
    </row>
    <row r="189">
      <c r="J189" s="13" t="n"/>
      <c r="K189" s="13" t="n"/>
      <c r="L189" s="13" t="n"/>
    </row>
    <row r="190">
      <c r="J190" s="13" t="n"/>
      <c r="K190" s="13" t="n"/>
      <c r="L190" s="13" t="n"/>
    </row>
    <row r="191">
      <c r="J191" s="13" t="n"/>
      <c r="K191" s="13" t="n"/>
      <c r="L191" s="13" t="n"/>
    </row>
    <row r="192">
      <c r="J192" s="13" t="n"/>
      <c r="K192" s="13" t="n"/>
      <c r="L192" s="13" t="n"/>
    </row>
    <row r="193">
      <c r="J193" s="13" t="n"/>
      <c r="K193" s="13" t="n"/>
      <c r="L193" s="13" t="n"/>
    </row>
    <row r="194">
      <c r="J194" s="13" t="n"/>
      <c r="K194" s="13" t="n"/>
      <c r="L194" s="13" t="n"/>
    </row>
    <row r="195">
      <c r="J195" s="13" t="n"/>
      <c r="K195" s="13" t="n"/>
      <c r="L195" s="13" t="n"/>
    </row>
    <row r="196">
      <c r="J196" s="13" t="n"/>
      <c r="K196" s="13" t="n"/>
      <c r="L196" s="13" t="n"/>
    </row>
    <row r="197">
      <c r="J197" s="13" t="n"/>
      <c r="K197" s="13" t="n"/>
      <c r="L197" s="13" t="n"/>
    </row>
    <row r="198">
      <c r="J198" s="13" t="n"/>
      <c r="K198" s="13" t="n"/>
      <c r="L198" s="13" t="n"/>
    </row>
    <row r="199">
      <c r="J199" s="13" t="n"/>
      <c r="K199" s="13" t="n"/>
      <c r="L199" s="13" t="n"/>
    </row>
    <row r="200">
      <c r="J200" s="13" t="n"/>
      <c r="K200" s="13" t="n"/>
      <c r="L200" s="13" t="n"/>
    </row>
    <row r="201">
      <c r="J201" s="13" t="n"/>
      <c r="K201" s="13" t="n"/>
      <c r="L201" s="13" t="n"/>
    </row>
    <row r="202">
      <c r="J202" s="13" t="n"/>
      <c r="K202" s="13" t="n"/>
      <c r="L202" s="13" t="n"/>
    </row>
    <row r="203">
      <c r="J203" s="13" t="n"/>
      <c r="K203" s="13" t="n"/>
      <c r="L203" s="13" t="n"/>
    </row>
    <row r="204">
      <c r="J204" s="13" t="n"/>
      <c r="K204" s="13" t="n"/>
      <c r="L204" s="13" t="n"/>
    </row>
    <row r="205">
      <c r="J205" s="13" t="n"/>
      <c r="K205" s="13" t="n"/>
      <c r="L205" s="13" t="n"/>
    </row>
    <row r="206">
      <c r="J206" s="13" t="n"/>
      <c r="K206" s="13" t="n"/>
      <c r="L206" s="13" t="n"/>
    </row>
    <row r="207">
      <c r="J207" s="13" t="n"/>
      <c r="K207" s="13" t="n"/>
      <c r="L207" s="13" t="n"/>
    </row>
    <row r="208">
      <c r="J208" s="13" t="n"/>
      <c r="K208" s="13" t="n"/>
      <c r="L208" s="13" t="n"/>
    </row>
    <row r="209">
      <c r="J209" s="13" t="n"/>
      <c r="K209" s="13" t="n"/>
      <c r="L209" s="13" t="n"/>
    </row>
    <row r="210">
      <c r="J210" s="13" t="n"/>
      <c r="K210" s="13" t="n"/>
      <c r="L210" s="13" t="n"/>
    </row>
    <row r="211">
      <c r="J211" s="13" t="n"/>
      <c r="K211" s="13" t="n"/>
      <c r="L211" s="13" t="n"/>
    </row>
    <row r="212">
      <c r="J212" s="13" t="n"/>
      <c r="K212" s="13" t="n"/>
      <c r="L212" s="13" t="n"/>
    </row>
    <row r="213">
      <c r="J213" s="13" t="n"/>
      <c r="K213" s="13" t="n"/>
      <c r="L213" s="13" t="n"/>
    </row>
    <row r="214">
      <c r="J214" s="13" t="n"/>
      <c r="K214" s="13" t="n"/>
      <c r="L214" s="13" t="n"/>
    </row>
    <row r="215">
      <c r="J215" s="13" t="n"/>
      <c r="K215" s="13" t="n"/>
      <c r="L215" s="13" t="n"/>
    </row>
    <row r="216">
      <c r="J216" s="13" t="n"/>
      <c r="K216" s="13" t="n"/>
      <c r="L216" s="13" t="n"/>
    </row>
    <row r="217">
      <c r="J217" s="13" t="n"/>
      <c r="K217" s="13" t="n"/>
      <c r="L217" s="13" t="n"/>
    </row>
    <row r="218">
      <c r="J218" s="13" t="n"/>
      <c r="K218" s="13" t="n"/>
      <c r="L218" s="13" t="n"/>
    </row>
    <row r="219">
      <c r="J219" s="13" t="n"/>
      <c r="K219" s="13" t="n"/>
      <c r="L219" s="13" t="n"/>
    </row>
    <row r="220">
      <c r="J220" s="13" t="n"/>
      <c r="K220" s="13" t="n"/>
      <c r="L220" s="13" t="n"/>
    </row>
    <row r="221">
      <c r="J221" s="13" t="n"/>
      <c r="K221" s="13" t="n"/>
      <c r="L221" s="13" t="n"/>
    </row>
    <row r="222">
      <c r="J222" s="13" t="n"/>
      <c r="K222" s="13" t="n"/>
      <c r="L222" s="13" t="n"/>
    </row>
    <row r="223">
      <c r="J223" s="13" t="n"/>
      <c r="K223" s="13" t="n"/>
      <c r="L223" s="13" t="n"/>
    </row>
    <row r="224">
      <c r="J224" s="13" t="n"/>
      <c r="K224" s="13" t="n"/>
      <c r="L224" s="13" t="n"/>
    </row>
    <row r="225">
      <c r="J225" s="13" t="n"/>
      <c r="K225" s="13" t="n"/>
      <c r="L225" s="13" t="n"/>
    </row>
    <row r="226">
      <c r="J226" s="13" t="n"/>
      <c r="K226" s="13" t="n"/>
      <c r="L226" s="13" t="n"/>
    </row>
    <row r="227">
      <c r="J227" s="13" t="n"/>
      <c r="K227" s="13" t="n"/>
      <c r="L227" s="13" t="n"/>
    </row>
    <row r="228">
      <c r="J228" s="13" t="n"/>
      <c r="K228" s="13" t="n"/>
      <c r="L228" s="13" t="n"/>
    </row>
    <row r="229">
      <c r="J229" s="13" t="n"/>
      <c r="K229" s="13" t="n"/>
      <c r="L229" s="13" t="n"/>
    </row>
    <row r="230">
      <c r="J230" s="13" t="n"/>
      <c r="K230" s="13" t="n"/>
      <c r="L230" s="13" t="n"/>
    </row>
    <row r="231">
      <c r="J231" s="13" t="n"/>
      <c r="K231" s="13" t="n"/>
      <c r="L231" s="13" t="n"/>
    </row>
    <row r="232">
      <c r="J232" s="13" t="n"/>
      <c r="K232" s="13" t="n"/>
      <c r="L232" s="13" t="n"/>
    </row>
    <row r="233">
      <c r="J233" s="13" t="n"/>
      <c r="K233" s="13" t="n"/>
      <c r="L233" s="13" t="n"/>
    </row>
    <row r="234">
      <c r="J234" s="13" t="n"/>
      <c r="K234" s="13" t="n"/>
      <c r="L234" s="13" t="n"/>
    </row>
    <row r="235">
      <c r="J235" s="13" t="n"/>
      <c r="K235" s="13" t="n"/>
      <c r="L235" s="13" t="n"/>
    </row>
    <row r="236">
      <c r="J236" s="13" t="n"/>
      <c r="K236" s="13" t="n"/>
      <c r="L236" s="13" t="n"/>
    </row>
    <row r="237">
      <c r="J237" s="13" t="n"/>
      <c r="K237" s="13" t="n"/>
      <c r="L237" s="13" t="n"/>
    </row>
    <row r="238">
      <c r="J238" s="13" t="n"/>
      <c r="K238" s="13" t="n"/>
      <c r="L238" s="13" t="n"/>
    </row>
    <row r="239">
      <c r="J239" s="13" t="n"/>
      <c r="K239" s="13" t="n"/>
      <c r="L239" s="13" t="n"/>
    </row>
    <row r="240">
      <c r="J240" s="13" t="n"/>
      <c r="K240" s="13" t="n"/>
      <c r="L240" s="13" t="n"/>
    </row>
    <row r="241">
      <c r="J241" s="13" t="n"/>
      <c r="K241" s="13" t="n"/>
      <c r="L241" s="13" t="n"/>
    </row>
    <row r="242">
      <c r="J242" s="13" t="n"/>
      <c r="K242" s="13" t="n"/>
      <c r="L242" s="13" t="n"/>
    </row>
    <row r="243">
      <c r="J243" s="13" t="n"/>
      <c r="K243" s="13" t="n"/>
      <c r="L243" s="13" t="n"/>
    </row>
    <row r="244">
      <c r="J244" s="13" t="n"/>
      <c r="K244" s="13" t="n"/>
      <c r="L244" s="13" t="n"/>
    </row>
    <row r="245">
      <c r="J245" s="13" t="n"/>
      <c r="K245" s="13" t="n"/>
      <c r="L245" s="13" t="n"/>
    </row>
    <row r="246">
      <c r="J246" s="13" t="n"/>
      <c r="K246" s="13" t="n"/>
      <c r="L246" s="13" t="n"/>
    </row>
    <row r="247">
      <c r="J247" s="13" t="n"/>
      <c r="K247" s="13" t="n"/>
      <c r="L247" s="13" t="n"/>
    </row>
    <row r="248">
      <c r="J248" s="13" t="n"/>
      <c r="K248" s="13" t="n"/>
      <c r="L248" s="13" t="n"/>
    </row>
    <row r="249">
      <c r="J249" s="13" t="n"/>
      <c r="K249" s="13" t="n"/>
      <c r="L249" s="13" t="n"/>
    </row>
    <row r="250">
      <c r="J250" s="13" t="n"/>
      <c r="K250" s="13" t="n"/>
      <c r="L250" s="13" t="n"/>
    </row>
    <row r="251">
      <c r="J251" s="13" t="n"/>
      <c r="K251" s="13" t="n"/>
      <c r="L251" s="13" t="n"/>
    </row>
    <row r="252">
      <c r="J252" s="13" t="n"/>
      <c r="K252" s="13" t="n"/>
      <c r="L252" s="13" t="n"/>
    </row>
    <row r="253">
      <c r="J253" s="13" t="n"/>
      <c r="K253" s="13" t="n"/>
      <c r="L253" s="13" t="n"/>
    </row>
    <row r="254">
      <c r="J254" s="13" t="n"/>
      <c r="K254" s="13" t="n"/>
      <c r="L254" s="13" t="n"/>
    </row>
    <row r="255">
      <c r="J255" s="13" t="n"/>
      <c r="K255" s="13" t="n"/>
      <c r="L255" s="13" t="n"/>
    </row>
    <row r="256">
      <c r="J256" s="13" t="n"/>
      <c r="K256" s="13" t="n"/>
      <c r="L256" s="13" t="n"/>
    </row>
    <row r="257">
      <c r="J257" s="13" t="n"/>
      <c r="K257" s="13" t="n"/>
      <c r="L257" s="13" t="n"/>
    </row>
    <row r="258">
      <c r="J258" s="13" t="n"/>
      <c r="K258" s="13" t="n"/>
      <c r="L258" s="13" t="n"/>
    </row>
    <row r="259">
      <c r="J259" s="13" t="n"/>
      <c r="K259" s="13" t="n"/>
      <c r="L259" s="13" t="n"/>
    </row>
    <row r="260">
      <c r="J260" s="13" t="n"/>
      <c r="K260" s="13" t="n"/>
      <c r="L260" s="13" t="n"/>
    </row>
    <row r="261">
      <c r="J261" s="13" t="n"/>
      <c r="K261" s="13" t="n"/>
      <c r="L261" s="13" t="n"/>
    </row>
    <row r="262">
      <c r="J262" s="13" t="n"/>
      <c r="K262" s="13" t="n"/>
      <c r="L262" s="13" t="n"/>
    </row>
    <row r="263">
      <c r="J263" s="13" t="n"/>
      <c r="K263" s="13" t="n"/>
      <c r="L263" s="13" t="n"/>
    </row>
    <row r="264">
      <c r="J264" s="13" t="n"/>
      <c r="K264" s="13" t="n"/>
      <c r="L264" s="13" t="n"/>
    </row>
    <row r="265">
      <c r="J265" s="13" t="n"/>
      <c r="K265" s="13" t="n"/>
      <c r="L265" s="13" t="n"/>
    </row>
    <row r="266">
      <c r="J266" s="13" t="n"/>
      <c r="K266" s="13" t="n"/>
      <c r="L266" s="13" t="n"/>
    </row>
    <row r="267">
      <c r="J267" s="13" t="n"/>
      <c r="K267" s="13" t="n"/>
      <c r="L267" s="13" t="n"/>
    </row>
    <row r="268">
      <c r="J268" s="13" t="n"/>
      <c r="K268" s="13" t="n"/>
      <c r="L268" s="13" t="n"/>
    </row>
    <row r="269">
      <c r="J269" s="13" t="n"/>
      <c r="K269" s="13" t="n"/>
      <c r="L269" s="13" t="n"/>
    </row>
    <row r="270">
      <c r="J270" s="13" t="n"/>
      <c r="K270" s="13" t="n"/>
      <c r="L270" s="13" t="n"/>
    </row>
    <row r="271">
      <c r="J271" s="13" t="n"/>
      <c r="K271" s="13" t="n"/>
      <c r="L271" s="13" t="n"/>
    </row>
    <row r="272">
      <c r="J272" s="13" t="n"/>
      <c r="K272" s="13" t="n"/>
      <c r="L272" s="13" t="n"/>
    </row>
    <row r="273">
      <c r="J273" s="13" t="n"/>
      <c r="K273" s="13" t="n"/>
      <c r="L273" s="13" t="n"/>
    </row>
    <row r="274">
      <c r="J274" s="13" t="n"/>
      <c r="K274" s="13" t="n"/>
      <c r="L274" s="13" t="n"/>
    </row>
    <row r="275">
      <c r="J275" s="13" t="n"/>
      <c r="K275" s="13" t="n"/>
      <c r="L275" s="13" t="n"/>
    </row>
    <row r="276">
      <c r="J276" s="13" t="n"/>
      <c r="K276" s="13" t="n"/>
      <c r="L276" s="13" t="n"/>
    </row>
    <row r="277">
      <c r="J277" s="13" t="n"/>
      <c r="K277" s="13" t="n"/>
      <c r="L277" s="13" t="n"/>
    </row>
    <row r="278">
      <c r="J278" s="13" t="n"/>
      <c r="K278" s="13" t="n"/>
      <c r="L278" s="13" t="n"/>
    </row>
    <row r="279">
      <c r="J279" s="13" t="n"/>
      <c r="K279" s="13" t="n"/>
      <c r="L279" s="13" t="n"/>
    </row>
    <row r="280">
      <c r="J280" s="13" t="n"/>
      <c r="K280" s="13" t="n"/>
      <c r="L280" s="13" t="n"/>
    </row>
    <row r="281">
      <c r="J281" s="13" t="n"/>
      <c r="K281" s="13" t="n"/>
      <c r="L281" s="13" t="n"/>
    </row>
    <row r="282">
      <c r="J282" s="13" t="n"/>
      <c r="K282" s="13" t="n"/>
      <c r="L282" s="13" t="n"/>
    </row>
    <row r="283">
      <c r="J283" s="13" t="n"/>
      <c r="K283" s="13" t="n"/>
      <c r="L283" s="13" t="n"/>
    </row>
    <row r="284">
      <c r="J284" s="13" t="n"/>
      <c r="K284" s="13" t="n"/>
      <c r="L284" s="13" t="n"/>
    </row>
    <row r="285">
      <c r="J285" s="13" t="n"/>
      <c r="K285" s="13" t="n"/>
      <c r="L285" s="13" t="n"/>
    </row>
    <row r="286">
      <c r="J286" s="13" t="n"/>
      <c r="K286" s="13" t="n"/>
      <c r="L286" s="13" t="n"/>
    </row>
    <row r="287">
      <c r="J287" s="13" t="n"/>
      <c r="K287" s="13" t="n"/>
      <c r="L287" s="13" t="n"/>
    </row>
    <row r="288">
      <c r="J288" s="13" t="n"/>
      <c r="K288" s="13" t="n"/>
      <c r="L288" s="13" t="n"/>
    </row>
    <row r="289">
      <c r="J289" s="13" t="n"/>
      <c r="K289" s="13" t="n"/>
      <c r="L289" s="13" t="n"/>
    </row>
    <row r="290">
      <c r="J290" s="13" t="n"/>
      <c r="K290" s="13" t="n"/>
      <c r="L290" s="13" t="n"/>
    </row>
    <row r="291">
      <c r="J291" s="13" t="n"/>
      <c r="K291" s="13" t="n"/>
      <c r="L291" s="13" t="n"/>
    </row>
    <row r="292">
      <c r="J292" s="13" t="n"/>
      <c r="K292" s="13" t="n"/>
      <c r="L292" s="13" t="n"/>
    </row>
    <row r="293">
      <c r="J293" s="13" t="n"/>
      <c r="K293" s="13" t="n"/>
      <c r="L293" s="13" t="n"/>
    </row>
    <row r="294">
      <c r="J294" s="13" t="n"/>
      <c r="K294" s="13" t="n"/>
      <c r="L294" s="13" t="n"/>
    </row>
    <row r="295">
      <c r="J295" s="13" t="n"/>
      <c r="K295" s="13" t="n"/>
      <c r="L295" s="13" t="n"/>
    </row>
    <row r="296">
      <c r="J296" s="13" t="n"/>
      <c r="K296" s="13" t="n"/>
      <c r="L296" s="13" t="n"/>
    </row>
    <row r="297">
      <c r="J297" s="13" t="n"/>
      <c r="K297" s="13" t="n"/>
      <c r="L297" s="13" t="n"/>
    </row>
    <row r="298">
      <c r="J298" s="13" t="n"/>
      <c r="K298" s="13" t="n"/>
      <c r="L298" s="13" t="n"/>
    </row>
    <row r="299">
      <c r="J299" s="13" t="n"/>
      <c r="K299" s="13" t="n"/>
      <c r="L299" s="13" t="n"/>
    </row>
    <row r="300">
      <c r="J300" s="13" t="n"/>
      <c r="K300" s="13" t="n"/>
      <c r="L300" s="13" t="n"/>
    </row>
    <row r="301">
      <c r="J301" s="13" t="n"/>
      <c r="K301" s="13" t="n"/>
      <c r="L301" s="13" t="n"/>
    </row>
    <row r="302">
      <c r="J302" s="13" t="n"/>
      <c r="K302" s="13" t="n"/>
      <c r="L302" s="13" t="n"/>
    </row>
    <row r="303">
      <c r="J303" s="13" t="n"/>
      <c r="K303" s="13" t="n"/>
      <c r="L303" s="13" t="n"/>
    </row>
    <row r="304">
      <c r="J304" s="13" t="n"/>
      <c r="K304" s="13" t="n"/>
      <c r="L304" s="13" t="n"/>
    </row>
    <row r="305">
      <c r="J305" s="13" t="n"/>
      <c r="K305" s="13" t="n"/>
      <c r="L305" s="13" t="n"/>
    </row>
    <row r="306">
      <c r="J306" s="13" t="n"/>
      <c r="K306" s="13" t="n"/>
      <c r="L306" s="13" t="n"/>
    </row>
    <row r="307">
      <c r="J307" s="13" t="n"/>
      <c r="K307" s="13" t="n"/>
      <c r="L307" s="13" t="n"/>
    </row>
    <row r="308">
      <c r="J308" s="13" t="n"/>
      <c r="K308" s="13" t="n"/>
      <c r="L308" s="13" t="n"/>
    </row>
    <row r="309">
      <c r="J309" s="13" t="n"/>
      <c r="K309" s="13" t="n"/>
      <c r="L309" s="13" t="n"/>
    </row>
    <row r="310">
      <c r="J310" s="13" t="n"/>
      <c r="K310" s="13" t="n"/>
      <c r="L310" s="13" t="n"/>
    </row>
    <row r="311">
      <c r="J311" s="13" t="n"/>
      <c r="K311" s="13" t="n"/>
      <c r="L311" s="13" t="n"/>
    </row>
    <row r="312">
      <c r="J312" s="13" t="n"/>
      <c r="K312" s="13" t="n"/>
      <c r="L312" s="13" t="n"/>
    </row>
    <row r="313">
      <c r="J313" s="13" t="n"/>
      <c r="K313" s="13" t="n"/>
      <c r="L313" s="13" t="n"/>
    </row>
    <row r="314">
      <c r="J314" s="13" t="n"/>
      <c r="K314" s="13" t="n"/>
      <c r="L314" s="13" t="n"/>
    </row>
    <row r="315">
      <c r="J315" s="13" t="n"/>
      <c r="K315" s="13" t="n"/>
      <c r="L315" s="13" t="n"/>
    </row>
    <row r="316">
      <c r="J316" s="13" t="n"/>
      <c r="K316" s="13" t="n"/>
      <c r="L316" s="13" t="n"/>
    </row>
    <row r="317">
      <c r="J317" s="13" t="n"/>
      <c r="K317" s="13" t="n"/>
      <c r="L317" s="13" t="n"/>
    </row>
    <row r="318">
      <c r="J318" s="13" t="n"/>
      <c r="K318" s="13" t="n"/>
      <c r="L318" s="13" t="n"/>
    </row>
    <row r="319">
      <c r="J319" s="13" t="n"/>
      <c r="K319" s="13" t="n"/>
      <c r="L319" s="13" t="n"/>
    </row>
    <row r="320">
      <c r="J320" s="13" t="n"/>
      <c r="K320" s="13" t="n"/>
      <c r="L320" s="13" t="n"/>
    </row>
    <row r="321">
      <c r="J321" s="13" t="n"/>
      <c r="K321" s="13" t="n"/>
      <c r="L321" s="13" t="n"/>
    </row>
    <row r="322">
      <c r="J322" s="13" t="n"/>
      <c r="K322" s="13" t="n"/>
      <c r="L322" s="13" t="n"/>
    </row>
    <row r="323">
      <c r="J323" s="13" t="n"/>
      <c r="K323" s="13" t="n"/>
      <c r="L323" s="13" t="n"/>
    </row>
    <row r="324">
      <c r="J324" s="13" t="n"/>
      <c r="K324" s="13" t="n"/>
      <c r="L324" s="13" t="n"/>
    </row>
    <row r="325">
      <c r="J325" s="13" t="n"/>
      <c r="K325" s="13" t="n"/>
      <c r="L325" s="13" t="n"/>
    </row>
    <row r="326">
      <c r="J326" s="13" t="n"/>
      <c r="K326" s="13" t="n"/>
      <c r="L326" s="13" t="n"/>
    </row>
    <row r="327">
      <c r="J327" s="13" t="n"/>
      <c r="K327" s="13" t="n"/>
      <c r="L327" s="13" t="n"/>
    </row>
    <row r="328">
      <c r="J328" s="13" t="n"/>
      <c r="K328" s="13" t="n"/>
      <c r="L328" s="13" t="n"/>
    </row>
    <row r="329">
      <c r="J329" s="13" t="n"/>
      <c r="K329" s="13" t="n"/>
      <c r="L329" s="13" t="n"/>
    </row>
    <row r="330">
      <c r="J330" s="13" t="n"/>
      <c r="K330" s="13" t="n"/>
      <c r="L330" s="13" t="n"/>
    </row>
    <row r="331">
      <c r="J331" s="13" t="n"/>
      <c r="K331" s="13" t="n"/>
      <c r="L331" s="13" t="n"/>
    </row>
    <row r="332">
      <c r="J332" s="13" t="n"/>
      <c r="K332" s="13" t="n"/>
      <c r="L332" s="13" t="n"/>
    </row>
    <row r="333">
      <c r="J333" s="13" t="n"/>
      <c r="K333" s="13" t="n"/>
      <c r="L333" s="13" t="n"/>
    </row>
    <row r="334">
      <c r="J334" s="13" t="n"/>
      <c r="K334" s="13" t="n"/>
      <c r="L334" s="13" t="n"/>
    </row>
    <row r="335">
      <c r="J335" s="13" t="n"/>
      <c r="K335" s="13" t="n"/>
      <c r="L335" s="13" t="n"/>
    </row>
    <row r="336">
      <c r="J336" s="13" t="n"/>
      <c r="K336" s="13" t="n"/>
      <c r="L336" s="13" t="n"/>
    </row>
    <row r="337">
      <c r="J337" s="13" t="n"/>
      <c r="K337" s="13" t="n"/>
      <c r="L337" s="13" t="n"/>
    </row>
    <row r="338">
      <c r="J338" s="13" t="n"/>
      <c r="K338" s="13" t="n"/>
      <c r="L338" s="13" t="n"/>
    </row>
    <row r="339">
      <c r="J339" s="13" t="n"/>
      <c r="K339" s="13" t="n"/>
      <c r="L339" s="13" t="n"/>
    </row>
    <row r="340">
      <c r="J340" s="13" t="n"/>
      <c r="K340" s="13" t="n"/>
      <c r="L340" s="13" t="n"/>
    </row>
    <row r="341">
      <c r="J341" s="13" t="n"/>
      <c r="K341" s="13" t="n"/>
      <c r="L341" s="13" t="n"/>
    </row>
    <row r="342">
      <c r="J342" s="13" t="n"/>
      <c r="K342" s="13" t="n"/>
      <c r="L342" s="13" t="n"/>
    </row>
    <row r="343">
      <c r="J343" s="13" t="n"/>
      <c r="K343" s="13" t="n"/>
      <c r="L343" s="13" t="n"/>
    </row>
    <row r="344">
      <c r="J344" s="13" t="n"/>
      <c r="K344" s="13" t="n"/>
      <c r="L344" s="13" t="n"/>
    </row>
    <row r="345">
      <c r="J345" s="13" t="n"/>
      <c r="K345" s="13" t="n"/>
      <c r="L345" s="13" t="n"/>
    </row>
    <row r="346">
      <c r="J346" s="13" t="n"/>
      <c r="K346" s="13" t="n"/>
      <c r="L346" s="13" t="n"/>
    </row>
    <row r="347">
      <c r="J347" s="13" t="n"/>
      <c r="K347" s="13" t="n"/>
      <c r="L347" s="13" t="n"/>
    </row>
    <row r="348">
      <c r="J348" s="13" t="n"/>
      <c r="K348" s="13" t="n"/>
      <c r="L348" s="13" t="n"/>
    </row>
    <row r="349">
      <c r="J349" s="13" t="n"/>
      <c r="K349" s="13" t="n"/>
      <c r="L349" s="13" t="n"/>
    </row>
    <row r="350">
      <c r="J350" s="13" t="n"/>
      <c r="K350" s="13" t="n"/>
      <c r="L350" s="13" t="n"/>
    </row>
    <row r="351">
      <c r="J351" s="13" t="n"/>
      <c r="K351" s="13" t="n"/>
      <c r="L351" s="13" t="n"/>
    </row>
    <row r="352">
      <c r="J352" s="13" t="n"/>
      <c r="K352" s="13" t="n"/>
      <c r="L352" s="13" t="n"/>
    </row>
    <row r="353">
      <c r="J353" s="13" t="n"/>
      <c r="K353" s="13" t="n"/>
      <c r="L353" s="13" t="n"/>
    </row>
    <row r="354">
      <c r="J354" s="13" t="n"/>
      <c r="K354" s="13" t="n"/>
      <c r="L354" s="13" t="n"/>
    </row>
    <row r="355">
      <c r="J355" s="13" t="n"/>
      <c r="K355" s="13" t="n"/>
      <c r="L355" s="13" t="n"/>
    </row>
    <row r="356">
      <c r="J356" s="13" t="n"/>
      <c r="K356" s="13" t="n"/>
      <c r="L356" s="13" t="n"/>
    </row>
    <row r="357">
      <c r="J357" s="13" t="n"/>
      <c r="K357" s="13" t="n"/>
      <c r="L357" s="13" t="n"/>
    </row>
    <row r="358">
      <c r="J358" s="13" t="n"/>
      <c r="K358" s="13" t="n"/>
      <c r="L358" s="13" t="n"/>
    </row>
    <row r="359">
      <c r="J359" s="13" t="n"/>
      <c r="K359" s="13" t="n"/>
      <c r="L359" s="13" t="n"/>
    </row>
    <row r="360">
      <c r="J360" s="13" t="n"/>
      <c r="K360" s="13" t="n"/>
      <c r="L360" s="13" t="n"/>
    </row>
    <row r="361">
      <c r="J361" s="13" t="n"/>
      <c r="K361" s="13" t="n"/>
      <c r="L361" s="13" t="n"/>
    </row>
    <row r="362">
      <c r="J362" s="13" t="n"/>
      <c r="K362" s="13" t="n"/>
      <c r="L362" s="13" t="n"/>
    </row>
    <row r="363">
      <c r="J363" s="13" t="n"/>
      <c r="K363" s="13" t="n"/>
      <c r="L363" s="13" t="n"/>
    </row>
    <row r="364">
      <c r="J364" s="13" t="n"/>
      <c r="K364" s="13" t="n"/>
      <c r="L364" s="13" t="n"/>
    </row>
    <row r="365">
      <c r="J365" s="13" t="n"/>
      <c r="K365" s="13" t="n"/>
      <c r="L365" s="13" t="n"/>
    </row>
    <row r="366">
      <c r="J366" s="13" t="n"/>
      <c r="K366" s="13" t="n"/>
      <c r="L366" s="13" t="n"/>
    </row>
    <row r="367">
      <c r="J367" s="13" t="n"/>
      <c r="K367" s="13" t="n"/>
      <c r="L367" s="13" t="n"/>
    </row>
    <row r="368">
      <c r="J368" s="13" t="n"/>
      <c r="K368" s="13" t="n"/>
      <c r="L368" s="13" t="n"/>
    </row>
    <row r="369">
      <c r="J369" s="13" t="n"/>
      <c r="K369" s="13" t="n"/>
      <c r="L369" s="13" t="n"/>
    </row>
    <row r="370">
      <c r="J370" s="13" t="n"/>
      <c r="K370" s="13" t="n"/>
      <c r="L370" s="13" t="n"/>
    </row>
    <row r="371">
      <c r="J371" s="13" t="n"/>
      <c r="K371" s="13" t="n"/>
      <c r="L371" s="13" t="n"/>
    </row>
    <row r="372">
      <c r="J372" s="13" t="n"/>
      <c r="K372" s="13" t="n"/>
      <c r="L372" s="13" t="n"/>
    </row>
    <row r="373">
      <c r="J373" s="13" t="n"/>
      <c r="K373" s="13" t="n"/>
      <c r="L373" s="13" t="n"/>
    </row>
    <row r="374">
      <c r="J374" s="13" t="n"/>
      <c r="K374" s="13" t="n"/>
      <c r="L374" s="13" t="n"/>
    </row>
    <row r="375">
      <c r="J375" s="13" t="n"/>
      <c r="K375" s="13" t="n"/>
      <c r="L375" s="13" t="n"/>
    </row>
    <row r="376">
      <c r="J376" s="13" t="n"/>
      <c r="K376" s="13" t="n"/>
      <c r="L376" s="13" t="n"/>
    </row>
    <row r="377">
      <c r="J377" s="13" t="n"/>
      <c r="K377" s="13" t="n"/>
      <c r="L377" s="13" t="n"/>
    </row>
    <row r="378">
      <c r="J378" s="13" t="n"/>
      <c r="K378" s="13" t="n"/>
      <c r="L378" s="13" t="n"/>
    </row>
    <row r="379">
      <c r="J379" s="13" t="n"/>
      <c r="K379" s="13" t="n"/>
      <c r="L379" s="13" t="n"/>
    </row>
    <row r="380">
      <c r="J380" s="13" t="n"/>
      <c r="K380" s="13" t="n"/>
      <c r="L380" s="13" t="n"/>
    </row>
    <row r="381">
      <c r="J381" s="13" t="n"/>
      <c r="K381" s="13" t="n"/>
      <c r="L381" s="13" t="n"/>
    </row>
    <row r="382">
      <c r="J382" s="13" t="n"/>
      <c r="K382" s="13" t="n"/>
      <c r="L382" s="13" t="n"/>
    </row>
    <row r="383">
      <c r="J383" s="13" t="n"/>
      <c r="K383" s="13" t="n"/>
      <c r="L383" s="13" t="n"/>
    </row>
    <row r="384">
      <c r="J384" s="13" t="n"/>
      <c r="K384" s="13" t="n"/>
      <c r="L384" s="13" t="n"/>
    </row>
    <row r="385">
      <c r="J385" s="13" t="n"/>
      <c r="K385" s="13" t="n"/>
      <c r="L385" s="13" t="n"/>
    </row>
    <row r="386">
      <c r="J386" s="13" t="n"/>
      <c r="K386" s="13" t="n"/>
      <c r="L386" s="13" t="n"/>
    </row>
    <row r="387">
      <c r="J387" s="13" t="n"/>
      <c r="K387" s="13" t="n"/>
      <c r="L387" s="13" t="n"/>
    </row>
    <row r="388">
      <c r="J388" s="13" t="n"/>
      <c r="K388" s="13" t="n"/>
      <c r="L388" s="13" t="n"/>
    </row>
    <row r="389">
      <c r="J389" s="13" t="n"/>
      <c r="K389" s="13" t="n"/>
      <c r="L389" s="13" t="n"/>
    </row>
    <row r="390">
      <c r="J390" s="13" t="n"/>
      <c r="K390" s="13" t="n"/>
      <c r="L390" s="13" t="n"/>
    </row>
    <row r="391">
      <c r="J391" s="13" t="n"/>
      <c r="K391" s="13" t="n"/>
      <c r="L391" s="13" t="n"/>
    </row>
    <row r="392">
      <c r="J392" s="13" t="n"/>
      <c r="K392" s="13" t="n"/>
      <c r="L392" s="13" t="n"/>
    </row>
    <row r="393">
      <c r="J393" s="13" t="n"/>
      <c r="K393" s="13" t="n"/>
      <c r="L393" s="13" t="n"/>
    </row>
    <row r="394">
      <c r="J394" s="13" t="n"/>
      <c r="K394" s="13" t="n"/>
      <c r="L394" s="13" t="n"/>
    </row>
    <row r="395">
      <c r="J395" s="13" t="n"/>
      <c r="K395" s="13" t="n"/>
      <c r="L395" s="13" t="n"/>
    </row>
    <row r="396">
      <c r="J396" s="13" t="n"/>
      <c r="K396" s="13" t="n"/>
      <c r="L396" s="13" t="n"/>
    </row>
    <row r="397">
      <c r="J397" s="13" t="n"/>
      <c r="K397" s="13" t="n"/>
      <c r="L397" s="13" t="n"/>
    </row>
    <row r="398">
      <c r="J398" s="13" t="n"/>
      <c r="K398" s="13" t="n"/>
      <c r="L398" s="13" t="n"/>
    </row>
    <row r="399">
      <c r="J399" s="13" t="n"/>
      <c r="K399" s="13" t="n"/>
      <c r="L399" s="13" t="n"/>
    </row>
    <row r="400">
      <c r="J400" s="13" t="n"/>
      <c r="K400" s="13" t="n"/>
      <c r="L400" s="13" t="n"/>
    </row>
    <row r="401">
      <c r="J401" s="13" t="n"/>
      <c r="K401" s="13" t="n"/>
      <c r="L401" s="13" t="n"/>
    </row>
    <row r="402">
      <c r="J402" s="13" t="n"/>
      <c r="K402" s="13" t="n"/>
      <c r="L402" s="13" t="n"/>
    </row>
    <row r="403">
      <c r="J403" s="13" t="n"/>
      <c r="K403" s="13" t="n"/>
      <c r="L403" s="13" t="n"/>
    </row>
    <row r="404">
      <c r="J404" s="13" t="n"/>
      <c r="K404" s="13" t="n"/>
      <c r="L404" s="13" t="n"/>
    </row>
    <row r="405">
      <c r="J405" s="13" t="n"/>
      <c r="K405" s="13" t="n"/>
      <c r="L405" s="13" t="n"/>
    </row>
    <row r="406">
      <c r="J406" s="13" t="n"/>
      <c r="K406" s="13" t="n"/>
      <c r="L406" s="13" t="n"/>
    </row>
    <row r="407">
      <c r="J407" s="13" t="n"/>
      <c r="K407" s="13" t="n"/>
      <c r="L407" s="13" t="n"/>
    </row>
    <row r="408">
      <c r="J408" s="13" t="n"/>
      <c r="K408" s="13" t="n"/>
      <c r="L408" s="13" t="n"/>
    </row>
    <row r="409">
      <c r="J409" s="13" t="n"/>
      <c r="K409" s="13" t="n"/>
      <c r="L409" s="13" t="n"/>
    </row>
    <row r="410">
      <c r="J410" s="13" t="n"/>
      <c r="K410" s="13" t="n"/>
      <c r="L410" s="13" t="n"/>
    </row>
    <row r="411">
      <c r="J411" s="13" t="n"/>
      <c r="K411" s="13" t="n"/>
      <c r="L411" s="13" t="n"/>
    </row>
    <row r="412">
      <c r="J412" s="13" t="n"/>
      <c r="K412" s="13" t="n"/>
      <c r="L412" s="13" t="n"/>
    </row>
    <row r="413">
      <c r="J413" s="13" t="n"/>
      <c r="K413" s="13" t="n"/>
      <c r="L413" s="13" t="n"/>
    </row>
    <row r="414">
      <c r="J414" s="13" t="n"/>
      <c r="K414" s="13" t="n"/>
      <c r="L414" s="13" t="n"/>
    </row>
    <row r="415">
      <c r="J415" s="13" t="n"/>
      <c r="K415" s="13" t="n"/>
      <c r="L415" s="13" t="n"/>
    </row>
    <row r="416">
      <c r="J416" s="13" t="n"/>
      <c r="K416" s="13" t="n"/>
      <c r="L416" s="13" t="n"/>
    </row>
    <row r="417">
      <c r="J417" s="13" t="n"/>
      <c r="K417" s="13" t="n"/>
      <c r="L417" s="13" t="n"/>
    </row>
    <row r="418">
      <c r="J418" s="13" t="n"/>
      <c r="K418" s="13" t="n"/>
      <c r="L418" s="13" t="n"/>
    </row>
    <row r="419">
      <c r="J419" s="13" t="n"/>
      <c r="K419" s="13" t="n"/>
      <c r="L419" s="13" t="n"/>
    </row>
    <row r="420">
      <c r="J420" s="13" t="n"/>
      <c r="K420" s="13" t="n"/>
      <c r="L420" s="13" t="n"/>
    </row>
    <row r="421">
      <c r="J421" s="13" t="n"/>
      <c r="K421" s="13" t="n"/>
      <c r="L421" s="13" t="n"/>
    </row>
    <row r="422">
      <c r="J422" s="13" t="n"/>
      <c r="K422" s="13" t="n"/>
      <c r="L422" s="13" t="n"/>
    </row>
    <row r="423">
      <c r="J423" s="13" t="n"/>
      <c r="K423" s="13" t="n"/>
      <c r="L423" s="13" t="n"/>
    </row>
    <row r="424">
      <c r="J424" s="13" t="n"/>
      <c r="K424" s="13" t="n"/>
      <c r="L424" s="13" t="n"/>
    </row>
    <row r="425">
      <c r="J425" s="13" t="n"/>
      <c r="K425" s="13" t="n"/>
      <c r="L425" s="13" t="n"/>
    </row>
    <row r="426">
      <c r="J426" s="13" t="n"/>
      <c r="K426" s="13" t="n"/>
      <c r="L426" s="13" t="n"/>
    </row>
    <row r="427">
      <c r="J427" s="13" t="n"/>
      <c r="K427" s="13" t="n"/>
      <c r="L427" s="13" t="n"/>
    </row>
    <row r="428">
      <c r="J428" s="13" t="n"/>
      <c r="K428" s="13" t="n"/>
      <c r="L428" s="13" t="n"/>
    </row>
    <row r="429">
      <c r="J429" s="13" t="n"/>
      <c r="K429" s="13" t="n"/>
      <c r="L429" s="13" t="n"/>
    </row>
    <row r="430">
      <c r="J430" s="13" t="n"/>
      <c r="K430" s="13" t="n"/>
      <c r="L430" s="13" t="n"/>
    </row>
    <row r="431">
      <c r="J431" s="13" t="n"/>
      <c r="K431" s="13" t="n"/>
      <c r="L431" s="13" t="n"/>
    </row>
    <row r="432">
      <c r="J432" s="13" t="n"/>
      <c r="K432" s="13" t="n"/>
      <c r="L432" s="13" t="n"/>
    </row>
    <row r="433">
      <c r="J433" s="13" t="n"/>
      <c r="K433" s="13" t="n"/>
      <c r="L433" s="13" t="n"/>
    </row>
    <row r="434">
      <c r="J434" s="13" t="n"/>
      <c r="K434" s="13" t="n"/>
      <c r="L434" s="13" t="n"/>
    </row>
    <row r="435">
      <c r="J435" s="13" t="n"/>
      <c r="K435" s="13" t="n"/>
      <c r="L435" s="13" t="n"/>
    </row>
    <row r="436">
      <c r="J436" s="13" t="n"/>
      <c r="K436" s="13" t="n"/>
      <c r="L436" s="13" t="n"/>
    </row>
    <row r="437">
      <c r="J437" s="13" t="n"/>
      <c r="K437" s="13" t="n"/>
      <c r="L437" s="13" t="n"/>
    </row>
    <row r="438">
      <c r="J438" s="13" t="n"/>
      <c r="K438" s="13" t="n"/>
      <c r="L438" s="13" t="n"/>
    </row>
    <row r="439">
      <c r="J439" s="13" t="n"/>
      <c r="K439" s="13" t="n"/>
      <c r="L439" s="13" t="n"/>
    </row>
    <row r="440">
      <c r="J440" s="13" t="n"/>
      <c r="K440" s="13" t="n"/>
      <c r="L440" s="13" t="n"/>
    </row>
    <row r="441">
      <c r="J441" s="13" t="n"/>
      <c r="K441" s="13" t="n"/>
      <c r="L441" s="13" t="n"/>
    </row>
    <row r="442">
      <c r="J442" s="13" t="n"/>
      <c r="K442" s="13" t="n"/>
      <c r="L442" s="13" t="n"/>
    </row>
    <row r="443">
      <c r="J443" s="13" t="n"/>
      <c r="K443" s="13" t="n"/>
      <c r="L443" s="13" t="n"/>
    </row>
    <row r="444">
      <c r="J444" s="13" t="n"/>
      <c r="K444" s="13" t="n"/>
      <c r="L444" s="13" t="n"/>
    </row>
    <row r="445">
      <c r="J445" s="13" t="n"/>
      <c r="K445" s="13" t="n"/>
      <c r="L445" s="13" t="n"/>
    </row>
    <row r="446">
      <c r="J446" s="13" t="n"/>
      <c r="K446" s="13" t="n"/>
      <c r="L446" s="13" t="n"/>
    </row>
    <row r="447">
      <c r="J447" s="13" t="n"/>
      <c r="K447" s="13" t="n"/>
      <c r="L447" s="13" t="n"/>
    </row>
    <row r="448">
      <c r="J448" s="13" t="n"/>
      <c r="K448" s="13" t="n"/>
      <c r="L448" s="13" t="n"/>
    </row>
    <row r="449">
      <c r="J449" s="13" t="n"/>
      <c r="K449" s="13" t="n"/>
      <c r="L449" s="13" t="n"/>
    </row>
    <row r="450">
      <c r="J450" s="13" t="n"/>
      <c r="K450" s="13" t="n"/>
      <c r="L450" s="13" t="n"/>
    </row>
    <row r="451">
      <c r="J451" s="13" t="n"/>
      <c r="K451" s="13" t="n"/>
      <c r="L451" s="13" t="n"/>
    </row>
    <row r="452">
      <c r="J452" s="13" t="n"/>
      <c r="K452" s="13" t="n"/>
      <c r="L452" s="13" t="n"/>
    </row>
    <row r="453">
      <c r="J453" s="13" t="n"/>
      <c r="K453" s="13" t="n"/>
      <c r="L453" s="13" t="n"/>
    </row>
    <row r="454">
      <c r="J454" s="13" t="n"/>
      <c r="K454" s="13" t="n"/>
      <c r="L454" s="13" t="n"/>
    </row>
    <row r="455">
      <c r="J455" s="13" t="n"/>
      <c r="K455" s="13" t="n"/>
      <c r="L455" s="13" t="n"/>
    </row>
    <row r="456">
      <c r="J456" s="13" t="n"/>
      <c r="K456" s="13" t="n"/>
      <c r="L456" s="13" t="n"/>
    </row>
    <row r="457">
      <c r="J457" s="13" t="n"/>
      <c r="K457" s="13" t="n"/>
      <c r="L457" s="13" t="n"/>
    </row>
    <row r="458">
      <c r="J458" s="13" t="n"/>
      <c r="K458" s="13" t="n"/>
      <c r="L458" s="13" t="n"/>
    </row>
    <row r="459">
      <c r="J459" s="13" t="n"/>
      <c r="K459" s="13" t="n"/>
      <c r="L459" s="13" t="n"/>
    </row>
    <row r="460">
      <c r="J460" s="13" t="n"/>
      <c r="K460" s="13" t="n"/>
      <c r="L460" s="13" t="n"/>
    </row>
    <row r="461">
      <c r="J461" s="13" t="n"/>
      <c r="K461" s="13" t="n"/>
      <c r="L461" s="13" t="n"/>
    </row>
    <row r="462">
      <c r="J462" s="13" t="n"/>
      <c r="K462" s="13" t="n"/>
      <c r="L462" s="13" t="n"/>
    </row>
    <row r="463">
      <c r="J463" s="13" t="n"/>
      <c r="K463" s="13" t="n"/>
      <c r="L463" s="13" t="n"/>
    </row>
    <row r="464">
      <c r="J464" s="13" t="n"/>
      <c r="K464" s="13" t="n"/>
      <c r="L464" s="13" t="n"/>
    </row>
    <row r="465">
      <c r="J465" s="13" t="n"/>
      <c r="K465" s="13" t="n"/>
      <c r="L465" s="13" t="n"/>
    </row>
    <row r="466">
      <c r="J466" s="13" t="n"/>
      <c r="K466" s="13" t="n"/>
      <c r="L466" s="13" t="n"/>
    </row>
    <row r="467">
      <c r="J467" s="13" t="n"/>
      <c r="K467" s="13" t="n"/>
      <c r="L467" s="13" t="n"/>
    </row>
    <row r="468">
      <c r="J468" s="13" t="n"/>
      <c r="K468" s="13" t="n"/>
      <c r="L468" s="13" t="n"/>
    </row>
    <row r="469">
      <c r="J469" s="13" t="n"/>
      <c r="K469" s="13" t="n"/>
      <c r="L469" s="13" t="n"/>
    </row>
    <row r="470">
      <c r="J470" s="13" t="n"/>
      <c r="K470" s="13" t="n"/>
      <c r="L470" s="13" t="n"/>
    </row>
    <row r="471">
      <c r="J471" s="13" t="n"/>
      <c r="K471" s="13" t="n"/>
      <c r="L471" s="13" t="n"/>
    </row>
    <row r="472">
      <c r="J472" s="13" t="n"/>
      <c r="K472" s="13" t="n"/>
      <c r="L472" s="13" t="n"/>
    </row>
    <row r="473">
      <c r="J473" s="13" t="n"/>
      <c r="K473" s="13" t="n"/>
      <c r="L473" s="13" t="n"/>
    </row>
    <row r="474">
      <c r="J474" s="13" t="n"/>
      <c r="K474" s="13" t="n"/>
      <c r="L474" s="13" t="n"/>
    </row>
    <row r="475">
      <c r="J475" s="13" t="n"/>
      <c r="K475" s="13" t="n"/>
      <c r="L475" s="13" t="n"/>
    </row>
    <row r="476">
      <c r="J476" s="13" t="n"/>
      <c r="K476" s="13" t="n"/>
      <c r="L476" s="13" t="n"/>
    </row>
    <row r="477">
      <c r="J477" s="13" t="n"/>
      <c r="K477" s="13" t="n"/>
      <c r="L477" s="13" t="n"/>
    </row>
    <row r="478">
      <c r="J478" s="13" t="n"/>
      <c r="K478" s="13" t="n"/>
      <c r="L478" s="13" t="n"/>
    </row>
    <row r="479">
      <c r="J479" s="13" t="n"/>
      <c r="K479" s="13" t="n"/>
      <c r="L479" s="13" t="n"/>
    </row>
    <row r="480">
      <c r="J480" s="13" t="n"/>
      <c r="K480" s="13" t="n"/>
      <c r="L480" s="13" t="n"/>
    </row>
    <row r="481">
      <c r="J481" s="13" t="n"/>
      <c r="K481" s="13" t="n"/>
      <c r="L481" s="13" t="n"/>
    </row>
    <row r="482">
      <c r="J482" s="13" t="n"/>
      <c r="K482" s="13" t="n"/>
      <c r="L482" s="13" t="n"/>
    </row>
    <row r="483">
      <c r="J483" s="13" t="n"/>
      <c r="K483" s="13" t="n"/>
      <c r="L483" s="13" t="n"/>
    </row>
    <row r="484">
      <c r="J484" s="13" t="n"/>
      <c r="K484" s="13" t="n"/>
      <c r="L484" s="13" t="n"/>
    </row>
    <row r="485">
      <c r="J485" s="13" t="n"/>
      <c r="K485" s="13" t="n"/>
      <c r="L485" s="13" t="n"/>
    </row>
    <row r="486">
      <c r="J486" s="13" t="n"/>
      <c r="K486" s="13" t="n"/>
      <c r="L486" s="13" t="n"/>
    </row>
    <row r="487">
      <c r="J487" s="13" t="n"/>
      <c r="K487" s="13" t="n"/>
      <c r="L487" s="13" t="n"/>
    </row>
    <row r="488">
      <c r="J488" s="13" t="n"/>
      <c r="K488" s="13" t="n"/>
      <c r="L488" s="13" t="n"/>
    </row>
    <row r="489">
      <c r="J489" s="13" t="n"/>
      <c r="K489" s="13" t="n"/>
      <c r="L489" s="13" t="n"/>
    </row>
    <row r="490">
      <c r="J490" s="13" t="n"/>
      <c r="K490" s="13" t="n"/>
      <c r="L490" s="13" t="n"/>
    </row>
    <row r="491">
      <c r="J491" s="13" t="n"/>
      <c r="K491" s="13" t="n"/>
      <c r="L491" s="13" t="n"/>
    </row>
    <row r="492">
      <c r="J492" s="13" t="n"/>
      <c r="K492" s="13" t="n"/>
      <c r="L492" s="13" t="n"/>
    </row>
    <row r="493">
      <c r="J493" s="13" t="n"/>
      <c r="K493" s="13" t="n"/>
      <c r="L493" s="13" t="n"/>
    </row>
    <row r="494">
      <c r="J494" s="13" t="n"/>
      <c r="K494" s="13" t="n"/>
      <c r="L494" s="13" t="n"/>
    </row>
    <row r="495">
      <c r="J495" s="13" t="n"/>
      <c r="K495" s="13" t="n"/>
      <c r="L495" s="13" t="n"/>
    </row>
    <row r="496">
      <c r="J496" s="13" t="n"/>
      <c r="K496" s="13" t="n"/>
      <c r="L496" s="13" t="n"/>
    </row>
    <row r="497">
      <c r="J497" s="13" t="n"/>
      <c r="K497" s="13" t="n"/>
      <c r="L497" s="13" t="n"/>
    </row>
    <row r="498">
      <c r="J498" s="13" t="n"/>
      <c r="K498" s="13" t="n"/>
      <c r="L498" s="13" t="n"/>
    </row>
    <row r="499">
      <c r="J499" s="13" t="n"/>
      <c r="K499" s="13" t="n"/>
      <c r="L499" s="13" t="n"/>
    </row>
    <row r="500">
      <c r="J500" s="13" t="n"/>
      <c r="K500" s="13" t="n"/>
      <c r="L500" s="13" t="n"/>
    </row>
    <row r="501">
      <c r="J501" s="13" t="n"/>
      <c r="K501" s="13" t="n"/>
      <c r="L501" s="13" t="n"/>
    </row>
    <row r="502">
      <c r="J502" s="13" t="n"/>
      <c r="K502" s="13" t="n"/>
      <c r="L502" s="13" t="n"/>
    </row>
    <row r="503">
      <c r="J503" s="13" t="n"/>
      <c r="K503" s="13" t="n"/>
      <c r="L503" s="13" t="n"/>
    </row>
    <row r="504">
      <c r="J504" s="13" t="n"/>
      <c r="K504" s="13" t="n"/>
      <c r="L504" s="13" t="n"/>
    </row>
    <row r="505">
      <c r="J505" s="13" t="n"/>
      <c r="K505" s="13" t="n"/>
      <c r="L505" s="13" t="n"/>
    </row>
    <row r="506">
      <c r="J506" s="13" t="n"/>
      <c r="K506" s="13" t="n"/>
      <c r="L506" s="13" t="n"/>
    </row>
    <row r="507">
      <c r="J507" s="13" t="n"/>
      <c r="K507" s="13" t="n"/>
      <c r="L507" s="13" t="n"/>
    </row>
    <row r="508">
      <c r="J508" s="13" t="n"/>
      <c r="K508" s="13" t="n"/>
      <c r="L508" s="13" t="n"/>
    </row>
    <row r="509">
      <c r="J509" s="13" t="n"/>
      <c r="K509" s="13" t="n"/>
      <c r="L509" s="13" t="n"/>
    </row>
    <row r="510">
      <c r="J510" s="13" t="n"/>
      <c r="K510" s="13" t="n"/>
      <c r="L510" s="13" t="n"/>
    </row>
    <row r="511">
      <c r="J511" s="13" t="n"/>
      <c r="K511" s="13" t="n"/>
      <c r="L511" s="13" t="n"/>
    </row>
    <row r="512">
      <c r="J512" s="13" t="n"/>
      <c r="K512" s="13" t="n"/>
      <c r="L512" s="13" t="n"/>
    </row>
    <row r="513">
      <c r="J513" s="13" t="n"/>
      <c r="K513" s="13" t="n"/>
      <c r="L513" s="13" t="n"/>
    </row>
    <row r="514">
      <c r="J514" s="13" t="n"/>
      <c r="K514" s="13" t="n"/>
      <c r="L514" s="13" t="n"/>
    </row>
    <row r="515">
      <c r="J515" s="13" t="n"/>
      <c r="K515" s="13" t="n"/>
      <c r="L515" s="13" t="n"/>
    </row>
    <row r="516">
      <c r="J516" s="13" t="n"/>
      <c r="K516" s="13" t="n"/>
      <c r="L516" s="13" t="n"/>
    </row>
    <row r="517">
      <c r="J517" s="13" t="n"/>
      <c r="K517" s="13" t="n"/>
      <c r="L517" s="13" t="n"/>
    </row>
    <row r="518">
      <c r="J518" s="13" t="n"/>
      <c r="K518" s="13" t="n"/>
      <c r="L518" s="13" t="n"/>
    </row>
    <row r="519">
      <c r="J519" s="13" t="n"/>
      <c r="K519" s="13" t="n"/>
      <c r="L519" s="13" t="n"/>
    </row>
    <row r="520">
      <c r="J520" s="13" t="n"/>
      <c r="K520" s="13" t="n"/>
      <c r="L520" s="13" t="n"/>
    </row>
    <row r="521">
      <c r="J521" s="13" t="n"/>
      <c r="K521" s="13" t="n"/>
      <c r="L521" s="13" t="n"/>
    </row>
    <row r="522">
      <c r="J522" s="13" t="n"/>
      <c r="K522" s="13" t="n"/>
      <c r="L522" s="13" t="n"/>
    </row>
    <row r="523">
      <c r="J523" s="13" t="n"/>
      <c r="K523" s="13" t="n"/>
      <c r="L523" s="13" t="n"/>
    </row>
    <row r="524">
      <c r="J524" s="13" t="n"/>
      <c r="K524" s="13" t="n"/>
      <c r="L524" s="13" t="n"/>
    </row>
    <row r="525">
      <c r="J525" s="13" t="n"/>
      <c r="K525" s="13" t="n"/>
      <c r="L525" s="13" t="n"/>
    </row>
    <row r="526">
      <c r="J526" s="13" t="n"/>
      <c r="K526" s="13" t="n"/>
      <c r="L526" s="13" t="n"/>
    </row>
    <row r="527">
      <c r="J527" s="13" t="n"/>
      <c r="K527" s="13" t="n"/>
      <c r="L527" s="13" t="n"/>
    </row>
    <row r="528">
      <c r="J528" s="13" t="n"/>
      <c r="K528" s="13" t="n"/>
      <c r="L528" s="13" t="n"/>
    </row>
    <row r="529">
      <c r="J529" s="13" t="n"/>
      <c r="K529" s="13" t="n"/>
      <c r="L529" s="13" t="n"/>
    </row>
    <row r="530">
      <c r="J530" s="13" t="n"/>
      <c r="K530" s="13" t="n"/>
      <c r="L530" s="13" t="n"/>
    </row>
    <row r="531">
      <c r="J531" s="13" t="n"/>
      <c r="K531" s="13" t="n"/>
      <c r="L531" s="13" t="n"/>
    </row>
    <row r="532">
      <c r="J532" s="13" t="n"/>
      <c r="K532" s="13" t="n"/>
      <c r="L532" s="13" t="n"/>
    </row>
    <row r="533">
      <c r="J533" s="13" t="n"/>
      <c r="K533" s="13" t="n"/>
      <c r="L533" s="13" t="n"/>
    </row>
    <row r="534">
      <c r="J534" s="13" t="n"/>
      <c r="K534" s="13" t="n"/>
      <c r="L534" s="13" t="n"/>
    </row>
    <row r="535">
      <c r="J535" s="13" t="n"/>
      <c r="K535" s="13" t="n"/>
      <c r="L535" s="13" t="n"/>
    </row>
    <row r="536">
      <c r="J536" s="13" t="n"/>
      <c r="K536" s="13" t="n"/>
      <c r="L536" s="13" t="n"/>
    </row>
    <row r="537">
      <c r="J537" s="13" t="n"/>
      <c r="K537" s="13" t="n"/>
      <c r="L537" s="13" t="n"/>
    </row>
    <row r="538">
      <c r="J538" s="13" t="n"/>
      <c r="K538" s="13" t="n"/>
      <c r="L538" s="13" t="n"/>
    </row>
    <row r="539">
      <c r="J539" s="13" t="n"/>
      <c r="K539" s="13" t="n"/>
      <c r="L539" s="13" t="n"/>
    </row>
    <row r="540">
      <c r="J540" s="13" t="n"/>
      <c r="K540" s="13" t="n"/>
      <c r="L540" s="13" t="n"/>
    </row>
    <row r="541">
      <c r="J541" s="13" t="n"/>
      <c r="K541" s="13" t="n"/>
      <c r="L541" s="13" t="n"/>
    </row>
    <row r="542">
      <c r="J542" s="13" t="n"/>
      <c r="K542" s="13" t="n"/>
      <c r="L542" s="13" t="n"/>
    </row>
    <row r="543">
      <c r="J543" s="13" t="n"/>
      <c r="K543" s="13" t="n"/>
      <c r="L543" s="13" t="n"/>
    </row>
    <row r="544">
      <c r="J544" s="13" t="n"/>
      <c r="K544" s="13" t="n"/>
      <c r="L544" s="13" t="n"/>
    </row>
    <row r="545">
      <c r="J545" s="13" t="n"/>
      <c r="K545" s="13" t="n"/>
      <c r="L545" s="13" t="n"/>
    </row>
    <row r="546">
      <c r="J546" s="13" t="n"/>
      <c r="K546" s="13" t="n"/>
      <c r="L546" s="13" t="n"/>
    </row>
    <row r="547">
      <c r="J547" s="13" t="n"/>
      <c r="K547" s="13" t="n"/>
      <c r="L547" s="13" t="n"/>
    </row>
    <row r="548">
      <c r="J548" s="13" t="n"/>
      <c r="K548" s="13" t="n"/>
      <c r="L548" s="13" t="n"/>
    </row>
    <row r="549">
      <c r="J549" s="13" t="n"/>
      <c r="K549" s="13" t="n"/>
      <c r="L549" s="13" t="n"/>
    </row>
    <row r="550">
      <c r="J550" s="13" t="n"/>
      <c r="K550" s="13" t="n"/>
      <c r="L550" s="13" t="n"/>
    </row>
    <row r="551">
      <c r="J551" s="13" t="n"/>
      <c r="K551" s="13" t="n"/>
      <c r="L551" s="13" t="n"/>
    </row>
    <row r="552">
      <c r="J552" s="13" t="n"/>
      <c r="K552" s="13" t="n"/>
      <c r="L552" s="13" t="n"/>
    </row>
    <row r="553">
      <c r="J553" s="13" t="n"/>
      <c r="K553" s="13" t="n"/>
      <c r="L553" s="13" t="n"/>
    </row>
    <row r="554">
      <c r="J554" s="13" t="n"/>
      <c r="K554" s="13" t="n"/>
      <c r="L554" s="13" t="n"/>
    </row>
    <row r="555">
      <c r="J555" s="13" t="n"/>
      <c r="K555" s="13" t="n"/>
      <c r="L555" s="13" t="n"/>
    </row>
    <row r="556">
      <c r="J556" s="13" t="n"/>
      <c r="K556" s="13" t="n"/>
      <c r="L556" s="13" t="n"/>
    </row>
    <row r="557">
      <c r="J557" s="13" t="n"/>
      <c r="K557" s="13" t="n"/>
      <c r="L557" s="13" t="n"/>
    </row>
    <row r="558">
      <c r="J558" s="13" t="n"/>
      <c r="K558" s="13" t="n"/>
      <c r="L558" s="13" t="n"/>
    </row>
    <row r="559">
      <c r="J559" s="13" t="n"/>
      <c r="K559" s="13" t="n"/>
      <c r="L559" s="13" t="n"/>
    </row>
    <row r="560">
      <c r="J560" s="13" t="n"/>
      <c r="K560" s="13" t="n"/>
      <c r="L560" s="13" t="n"/>
    </row>
    <row r="561">
      <c r="J561" s="13" t="n"/>
      <c r="K561" s="13" t="n"/>
      <c r="L561" s="13" t="n"/>
    </row>
    <row r="562">
      <c r="J562" s="13" t="n"/>
      <c r="K562" s="13" t="n"/>
      <c r="L562" s="13" t="n"/>
    </row>
    <row r="563">
      <c r="J563" s="13" t="n"/>
      <c r="K563" s="13" t="n"/>
      <c r="L563" s="13" t="n"/>
    </row>
    <row r="564">
      <c r="J564" s="13" t="n"/>
      <c r="K564" s="13" t="n"/>
      <c r="L564" s="13" t="n"/>
    </row>
    <row r="565">
      <c r="J565" s="13" t="n"/>
      <c r="K565" s="13" t="n"/>
      <c r="L565" s="13" t="n"/>
    </row>
    <row r="566">
      <c r="J566" s="13" t="n"/>
      <c r="K566" s="13" t="n"/>
      <c r="L566" s="13" t="n"/>
    </row>
    <row r="567">
      <c r="J567" s="13" t="n"/>
      <c r="K567" s="13" t="n"/>
      <c r="L567" s="13" t="n"/>
    </row>
    <row r="568">
      <c r="J568" s="13" t="n"/>
      <c r="K568" s="13" t="n"/>
      <c r="L568" s="13" t="n"/>
    </row>
    <row r="569">
      <c r="J569" s="13" t="n"/>
      <c r="K569" s="13" t="n"/>
      <c r="L569" s="13" t="n"/>
    </row>
    <row r="570">
      <c r="J570" s="13" t="n"/>
      <c r="K570" s="13" t="n"/>
      <c r="L570" s="13" t="n"/>
    </row>
    <row r="571">
      <c r="J571" s="13" t="n"/>
      <c r="K571" s="13" t="n"/>
      <c r="L571" s="13" t="n"/>
    </row>
    <row r="572">
      <c r="J572" s="13" t="n"/>
      <c r="K572" s="13" t="n"/>
      <c r="L572" s="13" t="n"/>
    </row>
    <row r="573">
      <c r="J573" s="13" t="n"/>
      <c r="K573" s="13" t="n"/>
      <c r="L573" s="13" t="n"/>
    </row>
    <row r="574">
      <c r="J574" s="13" t="n"/>
      <c r="K574" s="13" t="n"/>
      <c r="L574" s="13" t="n"/>
    </row>
    <row r="575">
      <c r="J575" s="13" t="n"/>
      <c r="K575" s="13" t="n"/>
      <c r="L575" s="13" t="n"/>
    </row>
    <row r="576">
      <c r="J576" s="13" t="n"/>
      <c r="K576" s="13" t="n"/>
      <c r="L576" s="13" t="n"/>
    </row>
    <row r="577">
      <c r="J577" s="13" t="n"/>
      <c r="K577" s="13" t="n"/>
      <c r="L577" s="13" t="n"/>
    </row>
    <row r="578">
      <c r="J578" s="13" t="n"/>
      <c r="K578" s="13" t="n"/>
      <c r="L578" s="13" t="n"/>
    </row>
    <row r="579">
      <c r="J579" s="13" t="n"/>
      <c r="K579" s="13" t="n"/>
      <c r="L579" s="13" t="n"/>
    </row>
    <row r="580">
      <c r="J580" s="13" t="n"/>
      <c r="K580" s="13" t="n"/>
      <c r="L580" s="13" t="n"/>
    </row>
    <row r="581">
      <c r="J581" s="13" t="n"/>
      <c r="K581" s="13" t="n"/>
      <c r="L581" s="13" t="n"/>
    </row>
    <row r="582">
      <c r="J582" s="13" t="n"/>
      <c r="K582" s="13" t="n"/>
      <c r="L582" s="13" t="n"/>
    </row>
    <row r="583">
      <c r="J583" s="13" t="n"/>
      <c r="K583" s="13" t="n"/>
      <c r="L583" s="13" t="n"/>
    </row>
    <row r="584">
      <c r="J584" s="13" t="n"/>
      <c r="K584" s="13" t="n"/>
      <c r="L584" s="13" t="n"/>
    </row>
    <row r="585">
      <c r="J585" s="13" t="n"/>
      <c r="K585" s="13" t="n"/>
      <c r="L585" s="13" t="n"/>
    </row>
    <row r="586">
      <c r="J586" s="13" t="n"/>
      <c r="K586" s="13" t="n"/>
      <c r="L586" s="13" t="n"/>
    </row>
    <row r="587">
      <c r="J587" s="13" t="n"/>
      <c r="K587" s="13" t="n"/>
      <c r="L587" s="13" t="n"/>
    </row>
    <row r="588">
      <c r="J588" s="13" t="n"/>
      <c r="K588" s="13" t="n"/>
      <c r="L588" s="13" t="n"/>
    </row>
    <row r="589">
      <c r="J589" s="13" t="n"/>
      <c r="K589" s="13" t="n"/>
      <c r="L589" s="13" t="n"/>
    </row>
    <row r="590">
      <c r="J590" s="13" t="n"/>
      <c r="K590" s="13" t="n"/>
      <c r="L590" s="13" t="n"/>
    </row>
    <row r="591">
      <c r="J591" s="13" t="n"/>
      <c r="K591" s="13" t="n"/>
      <c r="L591" s="13" t="n"/>
    </row>
    <row r="592">
      <c r="J592" s="13" t="n"/>
      <c r="K592" s="13" t="n"/>
      <c r="L592" s="13" t="n"/>
    </row>
    <row r="593">
      <c r="J593" s="13" t="n"/>
      <c r="K593" s="13" t="n"/>
      <c r="L593" s="13" t="n"/>
    </row>
    <row r="594">
      <c r="J594" s="13" t="n"/>
      <c r="K594" s="13" t="n"/>
      <c r="L594" s="13" t="n"/>
    </row>
    <row r="595">
      <c r="J595" s="13" t="n"/>
      <c r="K595" s="13" t="n"/>
      <c r="L595" s="13" t="n"/>
    </row>
    <row r="596">
      <c r="J596" s="13" t="n"/>
      <c r="K596" s="13" t="n"/>
      <c r="L596" s="13" t="n"/>
    </row>
    <row r="597">
      <c r="J597" s="13" t="n"/>
      <c r="K597" s="13" t="n"/>
      <c r="L597" s="13" t="n"/>
    </row>
    <row r="598">
      <c r="J598" s="13" t="n"/>
      <c r="K598" s="13" t="n"/>
      <c r="L598" s="13" t="n"/>
    </row>
    <row r="599">
      <c r="J599" s="13" t="n"/>
      <c r="K599" s="13" t="n"/>
      <c r="L599" s="13" t="n"/>
    </row>
    <row r="600">
      <c r="J600" s="13" t="n"/>
      <c r="K600" s="13" t="n"/>
      <c r="L600" s="13" t="n"/>
    </row>
    <row r="601">
      <c r="J601" s="13" t="n"/>
      <c r="K601" s="13" t="n"/>
      <c r="L601" s="13" t="n"/>
    </row>
    <row r="602">
      <c r="J602" s="13" t="n"/>
      <c r="K602" s="13" t="n"/>
      <c r="L602" s="13" t="n"/>
    </row>
    <row r="603">
      <c r="J603" s="13" t="n"/>
      <c r="K603" s="13" t="n"/>
      <c r="L603" s="13" t="n"/>
    </row>
    <row r="604">
      <c r="J604" s="13" t="n"/>
      <c r="K604" s="13" t="n"/>
      <c r="L604" s="13" t="n"/>
    </row>
    <row r="605">
      <c r="J605" s="13" t="n"/>
      <c r="K605" s="13" t="n"/>
      <c r="L605" s="13" t="n"/>
    </row>
    <row r="606">
      <c r="J606" s="13" t="n"/>
      <c r="K606" s="13" t="n"/>
      <c r="L606" s="13" t="n"/>
    </row>
    <row r="607">
      <c r="J607" s="13" t="n"/>
      <c r="K607" s="13" t="n"/>
      <c r="L607" s="13" t="n"/>
    </row>
    <row r="608">
      <c r="J608" s="13" t="n"/>
      <c r="K608" s="13" t="n"/>
      <c r="L608" s="13" t="n"/>
    </row>
    <row r="609">
      <c r="J609" s="13" t="n"/>
      <c r="K609" s="13" t="n"/>
      <c r="L609" s="13" t="n"/>
    </row>
    <row r="610">
      <c r="J610" s="13" t="n"/>
      <c r="K610" s="13" t="n"/>
      <c r="L610" s="13" t="n"/>
    </row>
    <row r="611">
      <c r="J611" s="13" t="n"/>
      <c r="K611" s="13" t="n"/>
      <c r="L611" s="13" t="n"/>
    </row>
    <row r="612">
      <c r="J612" s="13" t="n"/>
      <c r="K612" s="13" t="n"/>
      <c r="L612" s="13" t="n"/>
    </row>
    <row r="613">
      <c r="J613" s="13" t="n"/>
      <c r="K613" s="13" t="n"/>
      <c r="L613" s="13" t="n"/>
    </row>
    <row r="614">
      <c r="J614" s="13" t="n"/>
      <c r="K614" s="13" t="n"/>
      <c r="L614" s="13" t="n"/>
    </row>
    <row r="615">
      <c r="J615" s="13" t="n"/>
      <c r="K615" s="13" t="n"/>
      <c r="L615" s="13" t="n"/>
    </row>
    <row r="616">
      <c r="J616" s="13" t="n"/>
      <c r="K616" s="13" t="n"/>
      <c r="L616" s="13" t="n"/>
    </row>
    <row r="617">
      <c r="J617" s="13" t="n"/>
      <c r="K617" s="13" t="n"/>
      <c r="L617" s="13" t="n"/>
    </row>
    <row r="618">
      <c r="J618" s="13" t="n"/>
      <c r="K618" s="13" t="n"/>
      <c r="L618" s="13" t="n"/>
    </row>
    <row r="619">
      <c r="J619" s="13" t="n"/>
      <c r="K619" s="13" t="n"/>
      <c r="L619" s="13" t="n"/>
    </row>
    <row r="620">
      <c r="J620" s="13" t="n"/>
      <c r="K620" s="13" t="n"/>
      <c r="L620" s="13" t="n"/>
    </row>
    <row r="621">
      <c r="J621" s="13" t="n"/>
      <c r="K621" s="13" t="n"/>
      <c r="L621" s="13" t="n"/>
    </row>
    <row r="622">
      <c r="J622" s="13" t="n"/>
      <c r="K622" s="13" t="n"/>
      <c r="L622" s="13" t="n"/>
    </row>
    <row r="623">
      <c r="J623" s="13" t="n"/>
      <c r="K623" s="13" t="n"/>
      <c r="L623" s="13" t="n"/>
    </row>
    <row r="624">
      <c r="J624" s="13" t="n"/>
      <c r="K624" s="13" t="n"/>
      <c r="L624" s="13" t="n"/>
    </row>
    <row r="625">
      <c r="J625" s="13" t="n"/>
      <c r="K625" s="13" t="n"/>
      <c r="L625" s="13" t="n"/>
    </row>
    <row r="626">
      <c r="J626" s="13" t="n"/>
      <c r="K626" s="13" t="n"/>
      <c r="L626" s="13" t="n"/>
    </row>
    <row r="627">
      <c r="J627" s="13" t="n"/>
      <c r="K627" s="13" t="n"/>
      <c r="L627" s="13" t="n"/>
    </row>
    <row r="628">
      <c r="J628" s="13" t="n"/>
      <c r="K628" s="13" t="n"/>
      <c r="L628" s="13" t="n"/>
    </row>
    <row r="629">
      <c r="J629" s="13" t="n"/>
      <c r="K629" s="13" t="n"/>
      <c r="L629" s="13" t="n"/>
    </row>
    <row r="630">
      <c r="J630" s="13" t="n"/>
      <c r="K630" s="13" t="n"/>
      <c r="L630" s="13" t="n"/>
    </row>
    <row r="631">
      <c r="J631" s="13" t="n"/>
      <c r="K631" s="13" t="n"/>
      <c r="L631" s="13" t="n"/>
    </row>
    <row r="632">
      <c r="J632" s="13" t="n"/>
      <c r="K632" s="13" t="n"/>
      <c r="L632" s="13" t="n"/>
    </row>
    <row r="633">
      <c r="J633" s="13" t="n"/>
      <c r="K633" s="13" t="n"/>
      <c r="L633" s="13" t="n"/>
    </row>
    <row r="634">
      <c r="J634" s="13" t="n"/>
      <c r="K634" s="13" t="n"/>
      <c r="L634" s="13" t="n"/>
    </row>
    <row r="635">
      <c r="J635" s="13" t="n"/>
      <c r="K635" s="13" t="n"/>
      <c r="L635" s="13" t="n"/>
    </row>
    <row r="636">
      <c r="J636" s="13" t="n"/>
      <c r="K636" s="13" t="n"/>
      <c r="L636" s="13" t="n"/>
    </row>
    <row r="637">
      <c r="J637" s="13" t="n"/>
      <c r="K637" s="13" t="n"/>
      <c r="L637" s="13" t="n"/>
    </row>
    <row r="638">
      <c r="J638" s="13" t="n"/>
      <c r="K638" s="13" t="n"/>
      <c r="L638" s="13" t="n"/>
    </row>
    <row r="639">
      <c r="J639" s="13" t="n"/>
      <c r="K639" s="13" t="n"/>
      <c r="L639" s="13" t="n"/>
    </row>
    <row r="640">
      <c r="J640" s="13" t="n"/>
      <c r="K640" s="13" t="n"/>
      <c r="L640" s="13" t="n"/>
    </row>
    <row r="641">
      <c r="J641" s="13" t="n"/>
      <c r="K641" s="13" t="n"/>
      <c r="L641" s="13" t="n"/>
    </row>
    <row r="642">
      <c r="J642" s="13" t="n"/>
      <c r="K642" s="13" t="n"/>
      <c r="L642" s="13" t="n"/>
    </row>
    <row r="643">
      <c r="J643" s="13" t="n"/>
      <c r="K643" s="13" t="n"/>
      <c r="L643" s="13" t="n"/>
    </row>
    <row r="644">
      <c r="J644" s="13" t="n"/>
      <c r="K644" s="13" t="n"/>
      <c r="L644" s="13" t="n"/>
    </row>
    <row r="645">
      <c r="J645" s="13" t="n"/>
      <c r="K645" s="13" t="n"/>
      <c r="L645" s="13" t="n"/>
    </row>
    <row r="646">
      <c r="J646" s="13" t="n"/>
      <c r="K646" s="13" t="n"/>
      <c r="L646" s="13" t="n"/>
    </row>
    <row r="647">
      <c r="J647" s="13" t="n"/>
      <c r="K647" s="13" t="n"/>
      <c r="L647" s="13" t="n"/>
    </row>
    <row r="648">
      <c r="J648" s="13" t="n"/>
      <c r="K648" s="13" t="n"/>
      <c r="L648" s="13" t="n"/>
    </row>
    <row r="649">
      <c r="J649" s="13" t="n"/>
      <c r="K649" s="13" t="n"/>
      <c r="L649" s="13" t="n"/>
    </row>
    <row r="650">
      <c r="J650" s="13" t="n"/>
      <c r="K650" s="13" t="n"/>
      <c r="L650" s="13" t="n"/>
    </row>
    <row r="651">
      <c r="J651" s="13" t="n"/>
      <c r="K651" s="13" t="n"/>
      <c r="L651" s="13" t="n"/>
    </row>
    <row r="652">
      <c r="J652" s="13" t="n"/>
      <c r="K652" s="13" t="n"/>
      <c r="L652" s="13" t="n"/>
    </row>
    <row r="653">
      <c r="J653" s="13" t="n"/>
      <c r="K653" s="13" t="n"/>
      <c r="L653" s="13" t="n"/>
    </row>
    <row r="654">
      <c r="J654" s="13" t="n"/>
      <c r="K654" s="13" t="n"/>
      <c r="L654" s="13" t="n"/>
    </row>
    <row r="655">
      <c r="J655" s="13" t="n"/>
      <c r="K655" s="13" t="n"/>
      <c r="L655" s="13" t="n"/>
    </row>
    <row r="656">
      <c r="J656" s="13" t="n"/>
      <c r="K656" s="13" t="n"/>
      <c r="L656" s="13" t="n"/>
    </row>
    <row r="657">
      <c r="J657" s="13" t="n"/>
      <c r="K657" s="13" t="n"/>
      <c r="L657" s="13" t="n"/>
    </row>
    <row r="658">
      <c r="J658" s="13" t="n"/>
      <c r="K658" s="13" t="n"/>
      <c r="L658" s="13" t="n"/>
    </row>
    <row r="659">
      <c r="J659" s="13" t="n"/>
      <c r="K659" s="13" t="n"/>
      <c r="L659" s="13" t="n"/>
    </row>
    <row r="660">
      <c r="J660" s="13" t="n"/>
      <c r="K660" s="13" t="n"/>
      <c r="L660" s="13" t="n"/>
    </row>
    <row r="661">
      <c r="J661" s="13" t="n"/>
      <c r="K661" s="13" t="n"/>
      <c r="L661" s="13" t="n"/>
    </row>
    <row r="662">
      <c r="J662" s="13" t="n"/>
      <c r="K662" s="13" t="n"/>
      <c r="L662" s="13" t="n"/>
    </row>
    <row r="663">
      <c r="J663" s="13" t="n"/>
      <c r="K663" s="13" t="n"/>
      <c r="L663" s="13" t="n"/>
    </row>
    <row r="664">
      <c r="J664" s="13" t="n"/>
      <c r="K664" s="13" t="n"/>
      <c r="L664" s="13" t="n"/>
    </row>
    <row r="665">
      <c r="J665" s="13" t="n"/>
      <c r="K665" s="13" t="n"/>
      <c r="L665" s="13" t="n"/>
    </row>
    <row r="666">
      <c r="J666" s="13" t="n"/>
      <c r="K666" s="13" t="n"/>
      <c r="L666" s="13" t="n"/>
    </row>
    <row r="667">
      <c r="J667" s="13" t="n"/>
      <c r="K667" s="13" t="n"/>
      <c r="L667" s="13" t="n"/>
    </row>
    <row r="668">
      <c r="J668" s="13" t="n"/>
      <c r="K668" s="13" t="n"/>
      <c r="L668" s="13" t="n"/>
    </row>
    <row r="669">
      <c r="J669" s="13" t="n"/>
      <c r="K669" s="13" t="n"/>
      <c r="L669" s="13" t="n"/>
    </row>
    <row r="670">
      <c r="J670" s="13" t="n"/>
      <c r="K670" s="13" t="n"/>
      <c r="L670" s="13" t="n"/>
    </row>
    <row r="671">
      <c r="J671" s="13" t="n"/>
      <c r="K671" s="13" t="n"/>
      <c r="L671" s="13" t="n"/>
    </row>
    <row r="672">
      <c r="J672" s="13" t="n"/>
      <c r="K672" s="13" t="n"/>
      <c r="L672" s="13" t="n"/>
    </row>
    <row r="673">
      <c r="J673" s="13" t="n"/>
      <c r="K673" s="13" t="n"/>
      <c r="L673" s="13" t="n"/>
    </row>
    <row r="674">
      <c r="J674" s="13" t="n"/>
      <c r="K674" s="13" t="n"/>
      <c r="L674" s="13" t="n"/>
    </row>
    <row r="675">
      <c r="J675" s="13" t="n"/>
      <c r="K675" s="13" t="n"/>
      <c r="L675" s="13" t="n"/>
    </row>
    <row r="676">
      <c r="J676" s="13" t="n"/>
      <c r="K676" s="13" t="n"/>
      <c r="L676" s="13" t="n"/>
    </row>
    <row r="677">
      <c r="J677" s="13" t="n"/>
      <c r="K677" s="13" t="n"/>
      <c r="L677" s="13" t="n"/>
    </row>
    <row r="678">
      <c r="J678" s="13" t="n"/>
      <c r="K678" s="13" t="n"/>
      <c r="L678" s="13" t="n"/>
    </row>
    <row r="679">
      <c r="J679" s="13" t="n"/>
      <c r="K679" s="13" t="n"/>
      <c r="L679" s="13" t="n"/>
    </row>
    <row r="680">
      <c r="J680" s="13" t="n"/>
      <c r="K680" s="13" t="n"/>
      <c r="L680" s="13" t="n"/>
    </row>
    <row r="681">
      <c r="J681" s="13" t="n"/>
      <c r="K681" s="13" t="n"/>
      <c r="L681" s="13" t="n"/>
    </row>
    <row r="682">
      <c r="J682" s="13" t="n"/>
      <c r="K682" s="13" t="n"/>
      <c r="L682" s="13" t="n"/>
    </row>
    <row r="683">
      <c r="J683" s="13" t="n"/>
      <c r="K683" s="13" t="n"/>
      <c r="L683" s="13" t="n"/>
    </row>
    <row r="684">
      <c r="J684" s="13" t="n"/>
      <c r="K684" s="13" t="n"/>
      <c r="L684" s="13" t="n"/>
    </row>
    <row r="685">
      <c r="J685" s="13" t="n"/>
      <c r="K685" s="13" t="n"/>
      <c r="L685" s="13" t="n"/>
    </row>
    <row r="686">
      <c r="J686" s="13" t="n"/>
      <c r="K686" s="13" t="n"/>
      <c r="L686" s="13" t="n"/>
    </row>
    <row r="687">
      <c r="J687" s="13" t="n"/>
      <c r="K687" s="13" t="n"/>
      <c r="L687" s="13" t="n"/>
    </row>
    <row r="688">
      <c r="J688" s="13" t="n"/>
      <c r="K688" s="13" t="n"/>
      <c r="L688" s="13" t="n"/>
    </row>
    <row r="689">
      <c r="J689" s="13" t="n"/>
      <c r="K689" s="13" t="n"/>
      <c r="L689" s="13" t="n"/>
    </row>
    <row r="690">
      <c r="J690" s="13" t="n"/>
      <c r="K690" s="13" t="n"/>
      <c r="L690" s="13" t="n"/>
    </row>
    <row r="691">
      <c r="J691" s="13" t="n"/>
      <c r="K691" s="13" t="n"/>
      <c r="L691" s="13" t="n"/>
    </row>
    <row r="692">
      <c r="J692" s="13" t="n"/>
      <c r="K692" s="13" t="n"/>
      <c r="L692" s="13" t="n"/>
    </row>
    <row r="693">
      <c r="J693" s="13" t="n"/>
      <c r="K693" s="13" t="n"/>
      <c r="L693" s="13" t="n"/>
    </row>
    <row r="694">
      <c r="J694" s="13" t="n"/>
      <c r="K694" s="13" t="n"/>
      <c r="L694" s="13" t="n"/>
    </row>
    <row r="695">
      <c r="J695" s="13" t="n"/>
      <c r="K695" s="13" t="n"/>
      <c r="L695" s="13" t="n"/>
    </row>
    <row r="696">
      <c r="J696" s="13" t="n"/>
      <c r="K696" s="13" t="n"/>
      <c r="L696" s="13" t="n"/>
    </row>
    <row r="697">
      <c r="J697" s="13" t="n"/>
      <c r="K697" s="13" t="n"/>
      <c r="L697" s="13" t="n"/>
    </row>
    <row r="698">
      <c r="J698" s="13" t="n"/>
      <c r="K698" s="13" t="n"/>
      <c r="L698" s="13" t="n"/>
    </row>
    <row r="699">
      <c r="J699" s="13" t="n"/>
      <c r="K699" s="13" t="n"/>
      <c r="L699" s="13" t="n"/>
    </row>
    <row r="700">
      <c r="J700" s="13" t="n"/>
      <c r="K700" s="13" t="n"/>
      <c r="L700" s="13" t="n"/>
    </row>
    <row r="701">
      <c r="J701" s="13" t="n"/>
      <c r="K701" s="13" t="n"/>
      <c r="L701" s="13" t="n"/>
    </row>
    <row r="702">
      <c r="J702" s="13" t="n"/>
      <c r="K702" s="13" t="n"/>
      <c r="L702" s="13" t="n"/>
    </row>
    <row r="703">
      <c r="J703" s="13" t="n"/>
      <c r="K703" s="13" t="n"/>
      <c r="L703" s="13" t="n"/>
    </row>
    <row r="704">
      <c r="J704" s="13" t="n"/>
      <c r="K704" s="13" t="n"/>
      <c r="L704" s="13" t="n"/>
    </row>
    <row r="705">
      <c r="J705" s="13" t="n"/>
      <c r="K705" s="13" t="n"/>
      <c r="L705" s="13" t="n"/>
    </row>
    <row r="706">
      <c r="J706" s="13" t="n"/>
      <c r="K706" s="13" t="n"/>
      <c r="L706" s="13" t="n"/>
    </row>
    <row r="707">
      <c r="J707" s="13" t="n"/>
      <c r="K707" s="13" t="n"/>
      <c r="L707" s="13" t="n"/>
    </row>
    <row r="708">
      <c r="J708" s="13" t="n"/>
      <c r="K708" s="13" t="n"/>
      <c r="L708" s="13" t="n"/>
    </row>
    <row r="709">
      <c r="J709" s="13" t="n"/>
      <c r="K709" s="13" t="n"/>
      <c r="L709" s="13" t="n"/>
    </row>
    <row r="710">
      <c r="J710" s="13" t="n"/>
      <c r="K710" s="13" t="n"/>
      <c r="L710" s="13" t="n"/>
    </row>
    <row r="711">
      <c r="J711" s="13" t="n"/>
      <c r="K711" s="13" t="n"/>
      <c r="L711" s="13" t="n"/>
    </row>
    <row r="712">
      <c r="J712" s="13" t="n"/>
      <c r="K712" s="13" t="n"/>
      <c r="L712" s="13" t="n"/>
    </row>
    <row r="713">
      <c r="J713" s="13" t="n"/>
      <c r="K713" s="13" t="n"/>
      <c r="L713" s="13" t="n"/>
    </row>
    <row r="714">
      <c r="J714" s="13" t="n"/>
      <c r="K714" s="13" t="n"/>
      <c r="L714" s="13" t="n"/>
    </row>
    <row r="715">
      <c r="J715" s="13" t="n"/>
      <c r="K715" s="13" t="n"/>
      <c r="L715" s="13" t="n"/>
    </row>
    <row r="716">
      <c r="J716" s="13" t="n"/>
      <c r="K716" s="13" t="n"/>
      <c r="L716" s="13" t="n"/>
    </row>
    <row r="717">
      <c r="J717" s="13" t="n"/>
      <c r="K717" s="13" t="n"/>
      <c r="L717" s="13" t="n"/>
    </row>
    <row r="718">
      <c r="J718" s="13" t="n"/>
      <c r="K718" s="13" t="n"/>
      <c r="L718" s="13" t="n"/>
    </row>
    <row r="719">
      <c r="J719" s="13" t="n"/>
      <c r="K719" s="13" t="n"/>
      <c r="L719" s="13" t="n"/>
    </row>
    <row r="720">
      <c r="J720" s="13" t="n"/>
      <c r="K720" s="13" t="n"/>
      <c r="L720" s="13" t="n"/>
    </row>
    <row r="721">
      <c r="J721" s="13" t="n"/>
      <c r="K721" s="13" t="n"/>
      <c r="L721" s="13" t="n"/>
    </row>
    <row r="722">
      <c r="J722" s="13" t="n"/>
      <c r="K722" s="13" t="n"/>
      <c r="L722" s="13" t="n"/>
    </row>
    <row r="723">
      <c r="J723" s="13" t="n"/>
      <c r="K723" s="13" t="n"/>
      <c r="L723" s="13" t="n"/>
    </row>
    <row r="724">
      <c r="J724" s="13" t="n"/>
      <c r="K724" s="13" t="n"/>
      <c r="L724" s="13" t="n"/>
    </row>
    <row r="725">
      <c r="J725" s="13" t="n"/>
      <c r="K725" s="13" t="n"/>
      <c r="L725" s="13" t="n"/>
    </row>
    <row r="726">
      <c r="J726" s="13" t="n"/>
      <c r="K726" s="13" t="n"/>
      <c r="L726" s="13" t="n"/>
    </row>
    <row r="727">
      <c r="J727" s="13" t="n"/>
      <c r="K727" s="13" t="n"/>
      <c r="L727" s="13" t="n"/>
    </row>
    <row r="728">
      <c r="J728" s="13" t="n"/>
      <c r="K728" s="13" t="n"/>
      <c r="L728" s="13" t="n"/>
    </row>
    <row r="729">
      <c r="J729" s="13" t="n"/>
      <c r="K729" s="13" t="n"/>
      <c r="L729" s="13" t="n"/>
    </row>
    <row r="730">
      <c r="J730" s="13" t="n"/>
      <c r="K730" s="13" t="n"/>
      <c r="L730" s="13" t="n"/>
    </row>
    <row r="731">
      <c r="J731" s="13" t="n"/>
      <c r="K731" s="13" t="n"/>
      <c r="L731" s="13" t="n"/>
    </row>
    <row r="732">
      <c r="J732" s="13" t="n"/>
      <c r="K732" s="13" t="n"/>
      <c r="L732" s="13" t="n"/>
    </row>
    <row r="733">
      <c r="J733" s="13" t="n"/>
      <c r="K733" s="13" t="n"/>
      <c r="L733" s="13" t="n"/>
    </row>
    <row r="734">
      <c r="J734" s="13" t="n"/>
      <c r="K734" s="13" t="n"/>
      <c r="L734" s="13" t="n"/>
    </row>
    <row r="735">
      <c r="J735" s="13" t="n"/>
      <c r="K735" s="13" t="n"/>
      <c r="L735" s="13" t="n"/>
    </row>
    <row r="736">
      <c r="J736" s="13" t="n"/>
      <c r="K736" s="13" t="n"/>
      <c r="L736" s="13" t="n"/>
    </row>
    <row r="737">
      <c r="J737" s="13" t="n"/>
      <c r="K737" s="13" t="n"/>
      <c r="L737" s="13" t="n"/>
    </row>
    <row r="738">
      <c r="J738" s="13" t="n"/>
      <c r="K738" s="13" t="n"/>
      <c r="L738" s="13" t="n"/>
    </row>
    <row r="739">
      <c r="J739" s="13" t="n"/>
      <c r="K739" s="13" t="n"/>
      <c r="L739" s="13" t="n"/>
    </row>
    <row r="740">
      <c r="J740" s="13" t="n"/>
      <c r="K740" s="13" t="n"/>
      <c r="L740" s="13" t="n"/>
    </row>
    <row r="741">
      <c r="J741" s="13" t="n"/>
      <c r="K741" s="13" t="n"/>
      <c r="L741" s="13" t="n"/>
    </row>
    <row r="742">
      <c r="J742" s="13" t="n"/>
      <c r="K742" s="13" t="n"/>
      <c r="L742" s="13" t="n"/>
    </row>
    <row r="743">
      <c r="J743" s="13" t="n"/>
      <c r="K743" s="13" t="n"/>
      <c r="L743" s="13" t="n"/>
    </row>
    <row r="744">
      <c r="J744" s="13" t="n"/>
      <c r="K744" s="13" t="n"/>
      <c r="L744" s="13" t="n"/>
    </row>
    <row r="745">
      <c r="J745" s="13" t="n"/>
      <c r="K745" s="13" t="n"/>
      <c r="L745" s="13" t="n"/>
    </row>
    <row r="746">
      <c r="J746" s="13" t="n"/>
      <c r="K746" s="13" t="n"/>
      <c r="L746" s="13" t="n"/>
    </row>
    <row r="747">
      <c r="J747" s="13" t="n"/>
      <c r="K747" s="13" t="n"/>
      <c r="L747" s="13" t="n"/>
    </row>
    <row r="748">
      <c r="J748" s="13" t="n"/>
      <c r="K748" s="13" t="n"/>
      <c r="L748" s="13" t="n"/>
    </row>
    <row r="749">
      <c r="J749" s="13" t="n"/>
      <c r="K749" s="13" t="n"/>
      <c r="L749" s="13" t="n"/>
    </row>
    <row r="750">
      <c r="J750" s="13" t="n"/>
      <c r="K750" s="13" t="n"/>
      <c r="L750" s="13" t="n"/>
    </row>
    <row r="751">
      <c r="J751" s="13" t="n"/>
      <c r="K751" s="13" t="n"/>
      <c r="L751" s="13" t="n"/>
    </row>
    <row r="752">
      <c r="J752" s="13" t="n"/>
      <c r="K752" s="13" t="n"/>
      <c r="L752" s="13" t="n"/>
    </row>
    <row r="753">
      <c r="J753" s="13" t="n"/>
      <c r="K753" s="13" t="n"/>
      <c r="L753" s="13" t="n"/>
    </row>
    <row r="754">
      <c r="J754" s="13" t="n"/>
      <c r="K754" s="13" t="n"/>
      <c r="L754" s="13" t="n"/>
    </row>
    <row r="755">
      <c r="J755" s="13" t="n"/>
      <c r="K755" s="13" t="n"/>
      <c r="L755" s="13" t="n"/>
    </row>
    <row r="756">
      <c r="J756" s="13" t="n"/>
      <c r="K756" s="13" t="n"/>
      <c r="L756" s="13" t="n"/>
    </row>
    <row r="757">
      <c r="J757" s="13" t="n"/>
      <c r="K757" s="13" t="n"/>
      <c r="L757" s="13" t="n"/>
    </row>
    <row r="758">
      <c r="J758" s="13" t="n"/>
      <c r="K758" s="13" t="n"/>
      <c r="L758" s="13" t="n"/>
    </row>
    <row r="759">
      <c r="J759" s="13" t="n"/>
      <c r="K759" s="13" t="n"/>
      <c r="L759" s="13" t="n"/>
    </row>
    <row r="760">
      <c r="J760" s="13" t="n"/>
      <c r="K760" s="13" t="n"/>
      <c r="L760" s="13" t="n"/>
    </row>
    <row r="761">
      <c r="J761" s="13" t="n"/>
      <c r="K761" s="13" t="n"/>
      <c r="L761" s="13" t="n"/>
    </row>
    <row r="762">
      <c r="J762" s="13" t="n"/>
      <c r="K762" s="13" t="n"/>
      <c r="L762" s="13" t="n"/>
    </row>
    <row r="763">
      <c r="J763" s="13" t="n"/>
      <c r="K763" s="13" t="n"/>
      <c r="L763" s="13" t="n"/>
    </row>
    <row r="764">
      <c r="J764" s="13" t="n"/>
      <c r="K764" s="13" t="n"/>
      <c r="L764" s="13" t="n"/>
    </row>
    <row r="765">
      <c r="J765" s="13" t="n"/>
      <c r="K765" s="13" t="n"/>
      <c r="L765" s="13" t="n"/>
    </row>
    <row r="766">
      <c r="J766" s="13" t="n"/>
      <c r="K766" s="13" t="n"/>
      <c r="L766" s="13" t="n"/>
    </row>
    <row r="767">
      <c r="J767" s="13" t="n"/>
      <c r="K767" s="13" t="n"/>
      <c r="L767" s="13" t="n"/>
    </row>
    <row r="768">
      <c r="J768" s="13" t="n"/>
      <c r="K768" s="13" t="n"/>
      <c r="L768" s="13" t="n"/>
    </row>
    <row r="769">
      <c r="J769" s="13" t="n"/>
      <c r="K769" s="13" t="n"/>
      <c r="L769" s="13" t="n"/>
    </row>
    <row r="770">
      <c r="J770" s="13" t="n"/>
      <c r="K770" s="13" t="n"/>
      <c r="L770" s="13" t="n"/>
    </row>
    <row r="771">
      <c r="J771" s="13" t="n"/>
      <c r="K771" s="13" t="n"/>
      <c r="L771" s="13" t="n"/>
    </row>
    <row r="772">
      <c r="J772" s="13" t="n"/>
      <c r="K772" s="13" t="n"/>
      <c r="L772" s="13" t="n"/>
    </row>
    <row r="773">
      <c r="J773" s="13" t="n"/>
      <c r="K773" s="13" t="n"/>
      <c r="L773" s="13" t="n"/>
    </row>
    <row r="774">
      <c r="J774" s="13" t="n"/>
      <c r="K774" s="13" t="n"/>
      <c r="L774" s="13" t="n"/>
    </row>
    <row r="775">
      <c r="J775" s="13" t="n"/>
      <c r="K775" s="13" t="n"/>
      <c r="L775" s="13" t="n"/>
    </row>
    <row r="776">
      <c r="J776" s="13" t="n"/>
      <c r="K776" s="13" t="n"/>
      <c r="L776" s="13" t="n"/>
    </row>
    <row r="777">
      <c r="J777" s="13" t="n"/>
      <c r="K777" s="13" t="n"/>
      <c r="L777" s="13" t="n"/>
    </row>
    <row r="778">
      <c r="J778" s="13" t="n"/>
      <c r="K778" s="13" t="n"/>
      <c r="L778" s="13" t="n"/>
    </row>
    <row r="779">
      <c r="J779" s="13" t="n"/>
      <c r="K779" s="13" t="n"/>
      <c r="L779" s="13" t="n"/>
    </row>
    <row r="780">
      <c r="J780" s="13" t="n"/>
      <c r="K780" s="13" t="n"/>
      <c r="L780" s="13" t="n"/>
    </row>
    <row r="781">
      <c r="J781" s="13" t="n"/>
      <c r="K781" s="13" t="n"/>
      <c r="L781" s="13" t="n"/>
    </row>
    <row r="782">
      <c r="J782" s="13" t="n"/>
      <c r="K782" s="13" t="n"/>
      <c r="L782" s="13" t="n"/>
    </row>
    <row r="783">
      <c r="J783" s="13" t="n"/>
      <c r="K783" s="13" t="n"/>
      <c r="L783" s="13" t="n"/>
    </row>
    <row r="784">
      <c r="J784" s="13" t="n"/>
      <c r="K784" s="13" t="n"/>
      <c r="L784" s="13" t="n"/>
    </row>
    <row r="785">
      <c r="J785" s="13" t="n"/>
      <c r="K785" s="13" t="n"/>
      <c r="L785" s="13" t="n"/>
    </row>
    <row r="786">
      <c r="J786" s="13" t="n"/>
      <c r="K786" s="13" t="n"/>
      <c r="L786" s="13" t="n"/>
    </row>
    <row r="787">
      <c r="J787" s="13" t="n"/>
      <c r="K787" s="13" t="n"/>
      <c r="L787" s="13" t="n"/>
    </row>
    <row r="788">
      <c r="J788" s="13" t="n"/>
      <c r="K788" s="13" t="n"/>
      <c r="L788" s="13" t="n"/>
    </row>
    <row r="789">
      <c r="J789" s="13" t="n"/>
      <c r="K789" s="13" t="n"/>
      <c r="L789" s="13" t="n"/>
    </row>
    <row r="790">
      <c r="J790" s="13" t="n"/>
      <c r="K790" s="13" t="n"/>
      <c r="L790" s="13" t="n"/>
    </row>
    <row r="791">
      <c r="J791" s="13" t="n"/>
      <c r="K791" s="13" t="n"/>
      <c r="L791" s="13" t="n"/>
    </row>
    <row r="792">
      <c r="J792" s="13" t="n"/>
      <c r="K792" s="13" t="n"/>
      <c r="L792" s="13" t="n"/>
    </row>
    <row r="793">
      <c r="J793" s="13" t="n"/>
      <c r="K793" s="13" t="n"/>
      <c r="L793" s="13" t="n"/>
    </row>
    <row r="794">
      <c r="J794" s="13" t="n"/>
      <c r="K794" s="13" t="n"/>
      <c r="L794" s="13" t="n"/>
    </row>
    <row r="795">
      <c r="J795" s="13" t="n"/>
      <c r="K795" s="13" t="n"/>
      <c r="L795" s="13" t="n"/>
    </row>
    <row r="796">
      <c r="J796" s="13" t="n"/>
      <c r="K796" s="13" t="n"/>
      <c r="L796" s="13" t="n"/>
    </row>
    <row r="797">
      <c r="J797" s="13" t="n"/>
      <c r="K797" s="13" t="n"/>
      <c r="L797" s="13" t="n"/>
    </row>
    <row r="798">
      <c r="J798" s="13" t="n"/>
      <c r="K798" s="13" t="n"/>
      <c r="L798" s="13" t="n"/>
    </row>
    <row r="799">
      <c r="J799" s="13" t="n"/>
      <c r="K799" s="13" t="n"/>
      <c r="L799" s="13" t="n"/>
    </row>
    <row r="800">
      <c r="J800" s="13" t="n"/>
      <c r="K800" s="13" t="n"/>
      <c r="L800" s="13" t="n"/>
    </row>
    <row r="801">
      <c r="J801" s="13" t="n"/>
      <c r="K801" s="13" t="n"/>
      <c r="L801" s="13" t="n"/>
    </row>
    <row r="802">
      <c r="J802" s="13" t="n"/>
      <c r="K802" s="13" t="n"/>
      <c r="L802" s="13" t="n"/>
    </row>
    <row r="803">
      <c r="J803" s="13" t="n"/>
      <c r="K803" s="13" t="n"/>
      <c r="L803" s="13" t="n"/>
    </row>
    <row r="804">
      <c r="J804" s="13" t="n"/>
      <c r="K804" s="13" t="n"/>
      <c r="L804" s="13" t="n"/>
    </row>
    <row r="805">
      <c r="J805" s="13" t="n"/>
      <c r="K805" s="13" t="n"/>
      <c r="L805" s="13" t="n"/>
    </row>
    <row r="806">
      <c r="J806" s="13" t="n"/>
      <c r="K806" s="13" t="n"/>
      <c r="L806" s="13" t="n"/>
    </row>
    <row r="807">
      <c r="J807" s="13" t="n"/>
      <c r="K807" s="13" t="n"/>
      <c r="L807" s="13" t="n"/>
    </row>
    <row r="808">
      <c r="J808" s="13" t="n"/>
      <c r="K808" s="13" t="n"/>
      <c r="L808" s="13" t="n"/>
    </row>
    <row r="809">
      <c r="J809" s="13" t="n"/>
      <c r="K809" s="13" t="n"/>
      <c r="L809" s="13" t="n"/>
    </row>
    <row r="810">
      <c r="J810" s="13" t="n"/>
      <c r="K810" s="13" t="n"/>
      <c r="L810" s="13" t="n"/>
    </row>
    <row r="811">
      <c r="J811" s="13" t="n"/>
      <c r="K811" s="13" t="n"/>
      <c r="L811" s="13" t="n"/>
    </row>
    <row r="812">
      <c r="J812" s="13" t="n"/>
      <c r="K812" s="13" t="n"/>
      <c r="L812" s="13" t="n"/>
    </row>
    <row r="813">
      <c r="J813" s="13" t="n"/>
      <c r="K813" s="13" t="n"/>
      <c r="L813" s="13" t="n"/>
    </row>
    <row r="814">
      <c r="J814" s="13" t="n"/>
      <c r="K814" s="13" t="n"/>
      <c r="L814" s="13" t="n"/>
    </row>
    <row r="815">
      <c r="J815" s="13" t="n"/>
      <c r="K815" s="13" t="n"/>
      <c r="L815" s="13" t="n"/>
    </row>
    <row r="816">
      <c r="J816" s="13" t="n"/>
      <c r="K816" s="13" t="n"/>
      <c r="L816" s="13" t="n"/>
    </row>
    <row r="817">
      <c r="J817" s="13" t="n"/>
      <c r="K817" s="13" t="n"/>
      <c r="L817" s="13" t="n"/>
    </row>
    <row r="818">
      <c r="J818" s="13" t="n"/>
      <c r="K818" s="13" t="n"/>
      <c r="L818" s="13" t="n"/>
    </row>
    <row r="819">
      <c r="J819" s="13" t="n"/>
      <c r="K819" s="13" t="n"/>
      <c r="L819" s="13" t="n"/>
    </row>
    <row r="820">
      <c r="J820" s="13" t="n"/>
      <c r="K820" s="13" t="n"/>
      <c r="L820" s="13" t="n"/>
    </row>
    <row r="821">
      <c r="J821" s="13" t="n"/>
      <c r="K821" s="13" t="n"/>
      <c r="L821" s="13" t="n"/>
    </row>
    <row r="822">
      <c r="J822" s="13" t="n"/>
      <c r="K822" s="13" t="n"/>
      <c r="L822" s="13" t="n"/>
    </row>
    <row r="823">
      <c r="J823" s="13" t="n"/>
      <c r="K823" s="13" t="n"/>
      <c r="L823" s="13" t="n"/>
    </row>
    <row r="824">
      <c r="J824" s="13" t="n"/>
      <c r="K824" s="13" t="n"/>
      <c r="L824" s="13" t="n"/>
    </row>
    <row r="825">
      <c r="J825" s="13" t="n"/>
      <c r="K825" s="13" t="n"/>
      <c r="L825" s="13" t="n"/>
    </row>
    <row r="826">
      <c r="J826" s="13" t="n"/>
      <c r="K826" s="13" t="n"/>
      <c r="L826" s="13" t="n"/>
    </row>
    <row r="827">
      <c r="J827" s="13" t="n"/>
      <c r="K827" s="13" t="n"/>
      <c r="L827" s="13" t="n"/>
    </row>
    <row r="828">
      <c r="J828" s="13" t="n"/>
      <c r="K828" s="13" t="n"/>
      <c r="L828" s="13" t="n"/>
    </row>
    <row r="829">
      <c r="J829" s="13" t="n"/>
      <c r="K829" s="13" t="n"/>
      <c r="L829" s="13" t="n"/>
    </row>
    <row r="830">
      <c r="J830" s="13" t="n"/>
      <c r="K830" s="13" t="n"/>
      <c r="L830" s="13" t="n"/>
    </row>
    <row r="831">
      <c r="J831" s="13" t="n"/>
      <c r="K831" s="13" t="n"/>
      <c r="L831" s="13" t="n"/>
    </row>
    <row r="832">
      <c r="J832" s="13" t="n"/>
      <c r="K832" s="13" t="n"/>
      <c r="L832" s="13" t="n"/>
    </row>
    <row r="833">
      <c r="J833" s="13" t="n"/>
      <c r="K833" s="13" t="n"/>
      <c r="L833" s="13" t="n"/>
    </row>
    <row r="834">
      <c r="J834" s="13" t="n"/>
      <c r="K834" s="13" t="n"/>
      <c r="L834" s="13" t="n"/>
    </row>
    <row r="835">
      <c r="J835" s="13" t="n"/>
      <c r="K835" s="13" t="n"/>
      <c r="L835" s="13" t="n"/>
    </row>
    <row r="836">
      <c r="J836" s="13" t="n"/>
      <c r="K836" s="13" t="n"/>
      <c r="L836" s="13" t="n"/>
    </row>
    <row r="837">
      <c r="J837" s="13" t="n"/>
      <c r="K837" s="13" t="n"/>
      <c r="L837" s="13" t="n"/>
    </row>
    <row r="838">
      <c r="J838" s="13" t="n"/>
      <c r="K838" s="13" t="n"/>
      <c r="L838" s="13" t="n"/>
    </row>
    <row r="839">
      <c r="J839" s="13" t="n"/>
      <c r="K839" s="13" t="n"/>
      <c r="L839" s="13" t="n"/>
    </row>
    <row r="840">
      <c r="J840" s="13" t="n"/>
      <c r="K840" s="13" t="n"/>
      <c r="L840" s="13" t="n"/>
    </row>
    <row r="841">
      <c r="J841" s="13" t="n"/>
      <c r="K841" s="13" t="n"/>
      <c r="L841" s="13" t="n"/>
    </row>
    <row r="842">
      <c r="J842" s="13" t="n"/>
      <c r="K842" s="13" t="n"/>
      <c r="L842" s="13" t="n"/>
    </row>
    <row r="843">
      <c r="J843" s="13" t="n"/>
      <c r="K843" s="13" t="n"/>
      <c r="L843" s="13" t="n"/>
    </row>
    <row r="844">
      <c r="J844" s="13" t="n"/>
      <c r="K844" s="13" t="n"/>
      <c r="L844" s="13" t="n"/>
    </row>
    <row r="845">
      <c r="J845" s="13" t="n"/>
      <c r="K845" s="13" t="n"/>
      <c r="L845" s="13" t="n"/>
    </row>
    <row r="846">
      <c r="J846" s="13" t="n"/>
      <c r="K846" s="13" t="n"/>
      <c r="L846" s="13" t="n"/>
    </row>
    <row r="847">
      <c r="J847" s="13" t="n"/>
      <c r="K847" s="13" t="n"/>
      <c r="L847" s="13" t="n"/>
    </row>
    <row r="848">
      <c r="J848" s="13" t="n"/>
      <c r="K848" s="13" t="n"/>
      <c r="L848" s="13" t="n"/>
    </row>
    <row r="849">
      <c r="J849" s="13" t="n"/>
      <c r="K849" s="13" t="n"/>
      <c r="L849" s="13" t="n"/>
    </row>
    <row r="850">
      <c r="J850" s="13" t="n"/>
      <c r="K850" s="13" t="n"/>
      <c r="L850" s="13" t="n"/>
    </row>
    <row r="851">
      <c r="J851" s="13" t="n"/>
      <c r="K851" s="13" t="n"/>
      <c r="L851" s="13" t="n"/>
    </row>
    <row r="852">
      <c r="J852" s="13" t="n"/>
      <c r="K852" s="13" t="n"/>
      <c r="L852" s="13" t="n"/>
    </row>
    <row r="853">
      <c r="J853" s="13" t="n"/>
      <c r="K853" s="13" t="n"/>
      <c r="L853" s="13" t="n"/>
    </row>
    <row r="854">
      <c r="J854" s="13" t="n"/>
      <c r="K854" s="13" t="n"/>
      <c r="L854" s="13" t="n"/>
    </row>
    <row r="855">
      <c r="J855" s="13" t="n"/>
      <c r="K855" s="13" t="n"/>
      <c r="L855" s="13" t="n"/>
    </row>
    <row r="856">
      <c r="J856" s="13" t="n"/>
      <c r="K856" s="13" t="n"/>
      <c r="L856" s="13" t="n"/>
    </row>
    <row r="857">
      <c r="J857" s="13" t="n"/>
      <c r="K857" s="13" t="n"/>
      <c r="L857" s="13" t="n"/>
    </row>
    <row r="858">
      <c r="J858" s="13" t="n"/>
      <c r="K858" s="13" t="n"/>
      <c r="L858" s="13" t="n"/>
    </row>
    <row r="859">
      <c r="J859" s="13" t="n"/>
      <c r="K859" s="13" t="n"/>
      <c r="L859" s="13" t="n"/>
    </row>
    <row r="860">
      <c r="J860" s="13" t="n"/>
      <c r="K860" s="13" t="n"/>
      <c r="L860" s="13" t="n"/>
    </row>
    <row r="861">
      <c r="J861" s="13" t="n"/>
      <c r="K861" s="13" t="n"/>
      <c r="L861" s="13" t="n"/>
    </row>
    <row r="862">
      <c r="J862" s="13" t="n"/>
      <c r="K862" s="13" t="n"/>
      <c r="L862" s="13" t="n"/>
    </row>
    <row r="863">
      <c r="J863" s="13" t="n"/>
      <c r="K863" s="13" t="n"/>
      <c r="L863" s="13" t="n"/>
    </row>
    <row r="864">
      <c r="J864" s="13" t="n"/>
      <c r="K864" s="13" t="n"/>
      <c r="L864" s="13" t="n"/>
    </row>
    <row r="865">
      <c r="J865" s="13" t="n"/>
      <c r="K865" s="13" t="n"/>
      <c r="L865" s="13" t="n"/>
    </row>
    <row r="866">
      <c r="J866" s="13" t="n"/>
      <c r="K866" s="13" t="n"/>
      <c r="L866" s="13" t="n"/>
    </row>
    <row r="867">
      <c r="J867" s="13" t="n"/>
      <c r="K867" s="13" t="n"/>
      <c r="L867" s="13" t="n"/>
    </row>
    <row r="868">
      <c r="J868" s="13" t="n"/>
      <c r="K868" s="13" t="n"/>
      <c r="L868" s="13" t="n"/>
    </row>
    <row r="869">
      <c r="J869" s="13" t="n"/>
      <c r="K869" s="13" t="n"/>
      <c r="L869" s="13" t="n"/>
    </row>
    <row r="870">
      <c r="J870" s="13" t="n"/>
      <c r="K870" s="13" t="n"/>
      <c r="L870" s="13" t="n"/>
    </row>
    <row r="871">
      <c r="J871" s="13" t="n"/>
      <c r="K871" s="13" t="n"/>
      <c r="L871" s="13" t="n"/>
    </row>
    <row r="872">
      <c r="J872" s="13" t="n"/>
      <c r="K872" s="13" t="n"/>
      <c r="L872" s="13" t="n"/>
    </row>
    <row r="873">
      <c r="J873" s="13" t="n"/>
      <c r="K873" s="13" t="n"/>
      <c r="L873" s="13" t="n"/>
    </row>
    <row r="874">
      <c r="J874" s="13" t="n"/>
      <c r="K874" s="13" t="n"/>
      <c r="L874" s="13" t="n"/>
    </row>
    <row r="875">
      <c r="J875" s="13" t="n"/>
      <c r="K875" s="13" t="n"/>
      <c r="L875" s="13" t="n"/>
    </row>
    <row r="876">
      <c r="J876" s="13" t="n"/>
      <c r="K876" s="13" t="n"/>
      <c r="L876" s="13" t="n"/>
    </row>
    <row r="877">
      <c r="J877" s="13" t="n"/>
      <c r="K877" s="13" t="n"/>
      <c r="L877" s="13" t="n"/>
    </row>
    <row r="878">
      <c r="J878" s="13" t="n"/>
      <c r="K878" s="13" t="n"/>
      <c r="L878" s="13" t="n"/>
    </row>
    <row r="879">
      <c r="J879" s="13" t="n"/>
      <c r="K879" s="13" t="n"/>
      <c r="L879" s="13" t="n"/>
    </row>
    <row r="880">
      <c r="J880" s="13" t="n"/>
      <c r="K880" s="13" t="n"/>
      <c r="L880" s="13" t="n"/>
    </row>
    <row r="881">
      <c r="J881" s="13" t="n"/>
      <c r="K881" s="13" t="n"/>
      <c r="L881" s="13" t="n"/>
    </row>
    <row r="882">
      <c r="J882" s="13" t="n"/>
      <c r="K882" s="13" t="n"/>
      <c r="L882" s="13" t="n"/>
    </row>
    <row r="883">
      <c r="J883" s="13" t="n"/>
      <c r="K883" s="13" t="n"/>
      <c r="L883" s="13" t="n"/>
    </row>
    <row r="884">
      <c r="J884" s="13" t="n"/>
      <c r="K884" s="13" t="n"/>
      <c r="L884" s="13" t="n"/>
    </row>
    <row r="885">
      <c r="J885" s="13" t="n"/>
      <c r="K885" s="13" t="n"/>
      <c r="L885" s="13" t="n"/>
    </row>
    <row r="886">
      <c r="J886" s="13" t="n"/>
      <c r="K886" s="13" t="n"/>
      <c r="L886" s="13" t="n"/>
    </row>
    <row r="887">
      <c r="J887" s="13" t="n"/>
      <c r="K887" s="13" t="n"/>
      <c r="L887" s="13" t="n"/>
    </row>
    <row r="888">
      <c r="J888" s="13" t="n"/>
      <c r="K888" s="13" t="n"/>
      <c r="L888" s="13" t="n"/>
    </row>
    <row r="889">
      <c r="J889" s="13" t="n"/>
      <c r="K889" s="13" t="n"/>
      <c r="L889" s="13" t="n"/>
    </row>
    <row r="890">
      <c r="J890" s="13" t="n"/>
      <c r="K890" s="13" t="n"/>
      <c r="L890" s="13" t="n"/>
    </row>
    <row r="891">
      <c r="J891" s="13" t="n"/>
      <c r="K891" s="13" t="n"/>
      <c r="L891" s="13" t="n"/>
    </row>
    <row r="892">
      <c r="J892" s="13" t="n"/>
      <c r="K892" s="13" t="n"/>
      <c r="L892" s="13" t="n"/>
    </row>
    <row r="893">
      <c r="J893" s="13" t="n"/>
      <c r="K893" s="13" t="n"/>
      <c r="L893" s="13" t="n"/>
    </row>
    <row r="894">
      <c r="J894" s="13" t="n"/>
      <c r="K894" s="13" t="n"/>
      <c r="L894" s="13" t="n"/>
    </row>
    <row r="895">
      <c r="J895" s="13" t="n"/>
      <c r="K895" s="13" t="n"/>
      <c r="L895" s="13" t="n"/>
    </row>
    <row r="896">
      <c r="J896" s="13" t="n"/>
      <c r="K896" s="13" t="n"/>
      <c r="L896" s="13" t="n"/>
    </row>
    <row r="897">
      <c r="J897" s="13" t="n"/>
      <c r="K897" s="13" t="n"/>
      <c r="L897" s="13" t="n"/>
    </row>
    <row r="898">
      <c r="J898" s="13" t="n"/>
      <c r="K898" s="13" t="n"/>
      <c r="L898" s="13" t="n"/>
    </row>
    <row r="899">
      <c r="J899" s="13" t="n"/>
      <c r="K899" s="13" t="n"/>
      <c r="L899" s="13" t="n"/>
    </row>
    <row r="900">
      <c r="J900" s="13" t="n"/>
      <c r="K900" s="13" t="n"/>
      <c r="L900" s="13" t="n"/>
    </row>
    <row r="901">
      <c r="J901" s="13" t="n"/>
      <c r="K901" s="13" t="n"/>
      <c r="L901" s="13" t="n"/>
    </row>
    <row r="902">
      <c r="J902" s="13" t="n"/>
      <c r="K902" s="13" t="n"/>
      <c r="L902" s="13" t="n"/>
    </row>
    <row r="903">
      <c r="J903" s="13" t="n"/>
      <c r="K903" s="13" t="n"/>
      <c r="L903" s="13" t="n"/>
    </row>
    <row r="904">
      <c r="J904" s="13" t="n"/>
      <c r="K904" s="13" t="n"/>
      <c r="L904" s="13" t="n"/>
    </row>
    <row r="905">
      <c r="J905" s="13" t="n"/>
      <c r="K905" s="13" t="n"/>
      <c r="L905" s="13" t="n"/>
    </row>
    <row r="906">
      <c r="J906" s="13" t="n"/>
      <c r="K906" s="13" t="n"/>
      <c r="L906" s="13" t="n"/>
    </row>
    <row r="907">
      <c r="J907" s="13" t="n"/>
      <c r="K907" s="13" t="n"/>
      <c r="L907" s="13" t="n"/>
    </row>
    <row r="908">
      <c r="J908" s="13" t="n"/>
      <c r="K908" s="13" t="n"/>
      <c r="L908" s="13" t="n"/>
    </row>
    <row r="909">
      <c r="J909" s="13" t="n"/>
      <c r="K909" s="13" t="n"/>
      <c r="L909" s="13" t="n"/>
    </row>
    <row r="910">
      <c r="J910" s="13" t="n"/>
      <c r="K910" s="13" t="n"/>
      <c r="L910" s="13" t="n"/>
    </row>
    <row r="911">
      <c r="J911" s="13" t="n"/>
      <c r="K911" s="13" t="n"/>
      <c r="L911" s="13" t="n"/>
    </row>
    <row r="912">
      <c r="J912" s="13" t="n"/>
      <c r="K912" s="13" t="n"/>
      <c r="L912" s="13" t="n"/>
    </row>
    <row r="913">
      <c r="J913" s="13" t="n"/>
      <c r="K913" s="13" t="n"/>
      <c r="L913" s="13" t="n"/>
    </row>
    <row r="914">
      <c r="J914" s="13" t="n"/>
      <c r="K914" s="13" t="n"/>
      <c r="L914" s="13" t="n"/>
    </row>
    <row r="915">
      <c r="J915" s="13" t="n"/>
      <c r="K915" s="13" t="n"/>
      <c r="L915" s="13" t="n"/>
    </row>
    <row r="916">
      <c r="J916" s="13" t="n"/>
      <c r="K916" s="13" t="n"/>
      <c r="L916" s="13" t="n"/>
    </row>
    <row r="917">
      <c r="J917" s="13" t="n"/>
      <c r="K917" s="13" t="n"/>
      <c r="L917" s="13" t="n"/>
    </row>
    <row r="918">
      <c r="J918" s="13" t="n"/>
      <c r="K918" s="13" t="n"/>
      <c r="L918" s="13" t="n"/>
    </row>
    <row r="919">
      <c r="J919" s="13" t="n"/>
      <c r="K919" s="13" t="n"/>
      <c r="L919" s="13" t="n"/>
    </row>
    <row r="920">
      <c r="J920" s="13" t="n"/>
      <c r="K920" s="13" t="n"/>
      <c r="L920" s="13" t="n"/>
    </row>
    <row r="921">
      <c r="J921" s="13" t="n"/>
      <c r="K921" s="13" t="n"/>
      <c r="L921" s="13" t="n"/>
    </row>
    <row r="922">
      <c r="J922" s="13" t="n"/>
      <c r="K922" s="13" t="n"/>
      <c r="L922" s="13" t="n"/>
    </row>
    <row r="923">
      <c r="J923" s="13" t="n"/>
      <c r="K923" s="13" t="n"/>
      <c r="L923" s="13" t="n"/>
    </row>
    <row r="924">
      <c r="J924" s="13" t="n"/>
      <c r="K924" s="13" t="n"/>
      <c r="L924" s="13" t="n"/>
    </row>
    <row r="925">
      <c r="J925" s="13" t="n"/>
      <c r="K925" s="13" t="n"/>
      <c r="L925" s="13" t="n"/>
    </row>
    <row r="926">
      <c r="J926" s="13" t="n"/>
      <c r="K926" s="13" t="n"/>
      <c r="L926" s="13" t="n"/>
    </row>
    <row r="927">
      <c r="J927" s="13" t="n"/>
      <c r="K927" s="13" t="n"/>
      <c r="L927" s="13" t="n"/>
    </row>
    <row r="928">
      <c r="J928" s="13" t="n"/>
      <c r="K928" s="13" t="n"/>
      <c r="L928" s="13" t="n"/>
    </row>
    <row r="929">
      <c r="J929" s="13" t="n"/>
      <c r="K929" s="13" t="n"/>
      <c r="L929" s="13" t="n"/>
    </row>
    <row r="930">
      <c r="J930" s="13" t="n"/>
      <c r="K930" s="13" t="n"/>
      <c r="L930" s="13" t="n"/>
    </row>
    <row r="931">
      <c r="J931" s="13" t="n"/>
      <c r="K931" s="13" t="n"/>
      <c r="L931" s="13" t="n"/>
    </row>
    <row r="932">
      <c r="J932" s="13" t="n"/>
      <c r="K932" s="13" t="n"/>
      <c r="L932" s="13" t="n"/>
    </row>
    <row r="933">
      <c r="J933" s="13" t="n"/>
      <c r="K933" s="13" t="n"/>
      <c r="L933" s="13" t="n"/>
    </row>
    <row r="934">
      <c r="J934" s="13" t="n"/>
      <c r="K934" s="13" t="n"/>
      <c r="L934" s="13" t="n"/>
    </row>
    <row r="935">
      <c r="J935" s="13" t="n"/>
      <c r="K935" s="13" t="n"/>
      <c r="L935" s="13" t="n"/>
    </row>
    <row r="936">
      <c r="J936" s="13" t="n"/>
      <c r="K936" s="13" t="n"/>
      <c r="L936" s="13" t="n"/>
    </row>
    <row r="937">
      <c r="J937" s="13" t="n"/>
      <c r="K937" s="13" t="n"/>
      <c r="L937" s="13" t="n"/>
    </row>
    <row r="938">
      <c r="J938" s="13" t="n"/>
      <c r="K938" s="13" t="n"/>
      <c r="L938" s="13" t="n"/>
    </row>
    <row r="939">
      <c r="J939" s="13" t="n"/>
      <c r="K939" s="13" t="n"/>
      <c r="L939" s="13" t="n"/>
    </row>
    <row r="940">
      <c r="J940" s="13" t="n"/>
      <c r="K940" s="13" t="n"/>
      <c r="L940" s="13" t="n"/>
    </row>
    <row r="941">
      <c r="J941" s="13" t="n"/>
      <c r="K941" s="13" t="n"/>
      <c r="L941" s="13" t="n"/>
    </row>
    <row r="942">
      <c r="J942" s="13" t="n"/>
      <c r="K942" s="13" t="n"/>
      <c r="L942" s="13" t="n"/>
    </row>
    <row r="943">
      <c r="J943" s="13" t="n"/>
      <c r="K943" s="13" t="n"/>
      <c r="L943" s="13" t="n"/>
    </row>
    <row r="944">
      <c r="J944" s="13" t="n"/>
      <c r="K944" s="13" t="n"/>
      <c r="L944" s="13" t="n"/>
    </row>
    <row r="945">
      <c r="J945" s="13" t="n"/>
      <c r="K945" s="13" t="n"/>
      <c r="L945" s="13" t="n"/>
    </row>
    <row r="946">
      <c r="J946" s="13" t="n"/>
      <c r="K946" s="13" t="n"/>
      <c r="L946" s="13" t="n"/>
    </row>
    <row r="947">
      <c r="J947" s="13" t="n"/>
      <c r="K947" s="13" t="n"/>
      <c r="L947" s="13" t="n"/>
    </row>
    <row r="948">
      <c r="J948" s="13" t="n"/>
      <c r="K948" s="13" t="n"/>
      <c r="L948" s="13" t="n"/>
    </row>
    <row r="949">
      <c r="J949" s="13" t="n"/>
      <c r="K949" s="13" t="n"/>
      <c r="L949" s="13" t="n"/>
    </row>
    <row r="950">
      <c r="J950" s="13" t="n"/>
      <c r="K950" s="13" t="n"/>
      <c r="L950" s="13" t="n"/>
    </row>
    <row r="951">
      <c r="J951" s="13" t="n"/>
      <c r="K951" s="13" t="n"/>
      <c r="L951" s="13" t="n"/>
    </row>
    <row r="952">
      <c r="J952" s="13" t="n"/>
      <c r="K952" s="13" t="n"/>
      <c r="L952" s="13" t="n"/>
    </row>
    <row r="953">
      <c r="J953" s="13" t="n"/>
      <c r="K953" s="13" t="n"/>
      <c r="L953" s="13" t="n"/>
    </row>
    <row r="954">
      <c r="J954" s="13" t="n"/>
      <c r="K954" s="13" t="n"/>
      <c r="L954" s="13" t="n"/>
    </row>
    <row r="955">
      <c r="J955" s="13" t="n"/>
      <c r="K955" s="13" t="n"/>
      <c r="L955" s="13" t="n"/>
    </row>
    <row r="956">
      <c r="J956" s="13" t="n"/>
      <c r="K956" s="13" t="n"/>
      <c r="L956" s="13" t="n"/>
    </row>
    <row r="957">
      <c r="J957" s="13" t="n"/>
      <c r="K957" s="13" t="n"/>
      <c r="L957" s="13" t="n"/>
    </row>
    <row r="958">
      <c r="J958" s="13" t="n"/>
      <c r="K958" s="13" t="n"/>
      <c r="L958" s="13" t="n"/>
    </row>
    <row r="959">
      <c r="J959" s="13" t="n"/>
      <c r="K959" s="13" t="n"/>
      <c r="L959" s="13" t="n"/>
    </row>
    <row r="960">
      <c r="J960" s="13" t="n"/>
      <c r="K960" s="13" t="n"/>
      <c r="L960" s="13" t="n"/>
    </row>
    <row r="961">
      <c r="J961" s="13" t="n"/>
      <c r="K961" s="13" t="n"/>
      <c r="L961" s="13" t="n"/>
    </row>
    <row r="962">
      <c r="J962" s="13" t="n"/>
      <c r="K962" s="13" t="n"/>
      <c r="L962" s="13" t="n"/>
    </row>
    <row r="963">
      <c r="J963" s="13" t="n"/>
      <c r="K963" s="13" t="n"/>
      <c r="L963" s="13" t="n"/>
    </row>
    <row r="964">
      <c r="J964" s="13" t="n"/>
      <c r="K964" s="13" t="n"/>
      <c r="L964" s="13" t="n"/>
    </row>
    <row r="965">
      <c r="J965" s="13" t="n"/>
      <c r="K965" s="13" t="n"/>
      <c r="L965" s="13" t="n"/>
    </row>
    <row r="966">
      <c r="J966" s="13" t="n"/>
      <c r="K966" s="13" t="n"/>
      <c r="L966" s="13" t="n"/>
    </row>
    <row r="967">
      <c r="J967" s="13" t="n"/>
      <c r="K967" s="13" t="n"/>
      <c r="L967" s="13" t="n"/>
    </row>
    <row r="968">
      <c r="J968" s="13" t="n"/>
      <c r="K968" s="13" t="n"/>
      <c r="L968" s="13" t="n"/>
    </row>
    <row r="969">
      <c r="J969" s="13" t="n"/>
      <c r="K969" s="13" t="n"/>
      <c r="L969" s="13" t="n"/>
    </row>
    <row r="970">
      <c r="J970" s="13" t="n"/>
      <c r="K970" s="13" t="n"/>
      <c r="L970" s="13" t="n"/>
    </row>
    <row r="971">
      <c r="J971" s="13" t="n"/>
      <c r="K971" s="13" t="n"/>
      <c r="L971" s="13" t="n"/>
    </row>
    <row r="972">
      <c r="J972" s="13" t="n"/>
      <c r="K972" s="13" t="n"/>
      <c r="L972" s="13" t="n"/>
    </row>
    <row r="973">
      <c r="J973" s="13" t="n"/>
      <c r="K973" s="13" t="n"/>
      <c r="L973" s="13" t="n"/>
    </row>
    <row r="974">
      <c r="J974" s="13" t="n"/>
      <c r="K974" s="13" t="n"/>
      <c r="L974" s="13" t="n"/>
    </row>
    <row r="975">
      <c r="J975" s="13" t="n"/>
      <c r="K975" s="13" t="n"/>
      <c r="L975" s="13" t="n"/>
    </row>
    <row r="976">
      <c r="J976" s="13" t="n"/>
      <c r="K976" s="13" t="n"/>
      <c r="L976" s="13" t="n"/>
    </row>
    <row r="977">
      <c r="J977" s="13" t="n"/>
      <c r="K977" s="13" t="n"/>
      <c r="L977" s="13" t="n"/>
    </row>
    <row r="978">
      <c r="J978" s="13" t="n"/>
      <c r="K978" s="13" t="n"/>
      <c r="L978" s="13" t="n"/>
    </row>
    <row r="979">
      <c r="J979" s="13" t="n"/>
      <c r="K979" s="13" t="n"/>
      <c r="L979" s="13" t="n"/>
    </row>
    <row r="980">
      <c r="J980" s="13" t="n"/>
      <c r="K980" s="13" t="n"/>
      <c r="L980" s="13" t="n"/>
    </row>
    <row r="981">
      <c r="J981" s="13" t="n"/>
      <c r="K981" s="13" t="n"/>
      <c r="L981" s="13" t="n"/>
    </row>
    <row r="982">
      <c r="J982" s="13" t="n"/>
      <c r="K982" s="13" t="n"/>
      <c r="L982" s="13" t="n"/>
    </row>
    <row r="983">
      <c r="J983" s="13" t="n"/>
      <c r="K983" s="13" t="n"/>
      <c r="L983" s="13" t="n"/>
    </row>
    <row r="984">
      <c r="J984" s="13" t="n"/>
      <c r="K984" s="13" t="n"/>
      <c r="L984" s="13" t="n"/>
    </row>
    <row r="985">
      <c r="J985" s="13" t="n"/>
      <c r="K985" s="13" t="n"/>
      <c r="L985" s="13" t="n"/>
    </row>
    <row r="986">
      <c r="J986" s="13" t="n"/>
      <c r="K986" s="13" t="n"/>
      <c r="L986" s="13" t="n"/>
    </row>
    <row r="987">
      <c r="J987" s="13" t="n"/>
      <c r="K987" s="13" t="n"/>
      <c r="L987" s="13" t="n"/>
    </row>
    <row r="988">
      <c r="J988" s="13" t="n"/>
      <c r="K988" s="13" t="n"/>
      <c r="L988" s="13" t="n"/>
    </row>
    <row r="989">
      <c r="J989" s="13" t="n"/>
      <c r="K989" s="13" t="n"/>
      <c r="L989" s="13" t="n"/>
    </row>
    <row r="990">
      <c r="J990" s="13" t="n"/>
      <c r="K990" s="13" t="n"/>
      <c r="L990" s="13" t="n"/>
    </row>
    <row r="991">
      <c r="J991" s="13" t="n"/>
      <c r="K991" s="13" t="n"/>
      <c r="L991" s="13" t="n"/>
    </row>
    <row r="992">
      <c r="J992" s="13" t="n"/>
      <c r="K992" s="13" t="n"/>
      <c r="L992" s="13" t="n"/>
    </row>
    <row r="993">
      <c r="J993" s="13" t="n"/>
      <c r="K993" s="13" t="n"/>
      <c r="L993" s="13" t="n"/>
    </row>
    <row r="994">
      <c r="J994" s="13" t="n"/>
      <c r="K994" s="13" t="n"/>
      <c r="L994" s="13" t="n"/>
    </row>
    <row r="995">
      <c r="J995" s="13" t="n"/>
      <c r="K995" s="13" t="n"/>
      <c r="L995" s="13" t="n"/>
    </row>
    <row r="996">
      <c r="J996" s="13" t="n"/>
      <c r="K996" s="13" t="n"/>
      <c r="L996" s="13" t="n"/>
    </row>
    <row r="997">
      <c r="J997" s="13" t="n"/>
      <c r="K997" s="13" t="n"/>
      <c r="L997" s="13" t="n"/>
    </row>
    <row r="998">
      <c r="J998" s="13" t="n"/>
      <c r="K998" s="13" t="n"/>
      <c r="L998" s="13" t="n"/>
    </row>
    <row r="999">
      <c r="J999" s="13" t="n"/>
      <c r="K999" s="13" t="n"/>
      <c r="L999" s="13" t="n"/>
    </row>
    <row r="1000">
      <c r="J1000" s="13" t="n"/>
      <c r="K1000" s="13" t="n"/>
      <c r="L1000" s="1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75" customHeight="1"/>
  <cols>
    <col width="5.75" customWidth="1" style="17" min="1" max="1"/>
  </cols>
  <sheetData>
    <row r="1">
      <c r="A1" s="3" t="inlineStr">
        <is>
          <t>id</t>
        </is>
      </c>
      <c r="B1" s="3" t="inlineStr">
        <is>
          <t>name</t>
        </is>
      </c>
      <c r="C1" s="3" t="inlineStr">
        <is>
          <t>color</t>
        </is>
      </c>
    </row>
    <row r="2">
      <c r="A2" s="3">
        <f>ROW()-2</f>
        <v/>
      </c>
      <c r="B2" s="3" t="inlineStr">
        <is>
          <t>MOON</t>
        </is>
      </c>
      <c r="C2" s="3" t="inlineStr">
        <is>
          <t>all</t>
        </is>
      </c>
    </row>
    <row r="3">
      <c r="A3" s="3">
        <f>ROW()-2</f>
        <v/>
      </c>
      <c r="B3" s="3" t="inlineStr">
        <is>
          <t>PHOBOS</t>
        </is>
      </c>
      <c r="C3" s="3" t="inlineStr">
        <is>
          <t>blue</t>
        </is>
      </c>
    </row>
    <row r="4">
      <c r="A4" s="3">
        <f>ROW()-2</f>
        <v/>
      </c>
      <c r="B4" s="3" t="inlineStr">
        <is>
          <t>DEIMOS</t>
        </is>
      </c>
      <c r="C4" s="3" t="inlineStr">
        <is>
          <t>green</t>
        </is>
      </c>
    </row>
    <row r="5">
      <c r="A5" s="3">
        <f>ROW()-2</f>
        <v/>
      </c>
      <c r="B5" s="3" t="inlineStr">
        <is>
          <t>EUROPA</t>
        </is>
      </c>
      <c r="C5" s="3" t="inlineStr">
        <is>
          <t>red</t>
        </is>
      </c>
    </row>
    <row r="6">
      <c r="A6" s="3">
        <f>ROW()-2</f>
        <v/>
      </c>
      <c r="B6" s="3" t="inlineStr">
        <is>
          <t>GANYMEDE</t>
        </is>
      </c>
      <c r="C6" s="3" t="inlineStr">
        <is>
          <t>yellow</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8.25" customWidth="1" style="17" min="1" max="1"/>
    <col width="7" customWidth="1" style="17" min="3" max="3"/>
    <col width="5" customWidth="1" style="17" min="4" max="4"/>
  </cols>
  <sheetData>
    <row r="1">
      <c r="A1" s="3" t="inlineStr">
        <is>
          <t>phase_id</t>
        </is>
      </c>
      <c r="B1" s="3" t="inlineStr">
        <is>
          <t>phase_name</t>
        </is>
      </c>
      <c r="C1" s="3" t="inlineStr">
        <is>
          <t>trend</t>
        </is>
      </c>
      <c r="D1" s="3" t="inlineStr">
        <is>
          <t>n</t>
        </is>
      </c>
    </row>
    <row r="2">
      <c r="A2" s="3">
        <f>ROW()-2</f>
        <v/>
      </c>
      <c r="B2" s="3" t="inlineStr">
        <is>
          <t>アクション選択</t>
        </is>
      </c>
      <c r="C2" s="3" t="inlineStr">
        <is>
          <t>C</t>
        </is>
      </c>
      <c r="D2" s="3">
        <f>COUNTIFS(project!$D$2:$D$1041,$A2,project!$C$2:$C$1041,"0")+COUNTIFS(project!$E$2:$E$1041,$A2,project!$C$2:$C$1041,"0")</f>
        <v/>
      </c>
      <c r="E2" s="3" t="n"/>
    </row>
    <row r="3">
      <c r="A3" s="3">
        <f>ROW()-2</f>
        <v/>
      </c>
      <c r="B3" s="3" t="inlineStr">
        <is>
          <t>予算発行</t>
        </is>
      </c>
      <c r="C3" s="3" t="inlineStr">
        <is>
          <t>C</t>
        </is>
      </c>
      <c r="D3" s="3">
        <f>COUNTIFS(project!$D$2:$D$1041,$A3,project!$C$2:$C$1041,"0")+COUNTIFS(project!$E$2:$E$1041,$A3,project!$C$2:$C$1041,"0")</f>
        <v/>
      </c>
      <c r="E3" s="3" t="inlineStr">
        <is>
          <t>予算発行時</t>
        </is>
      </c>
    </row>
    <row r="4">
      <c r="A4" s="3">
        <f>ROW()-2</f>
        <v/>
      </c>
      <c r="B4" s="3" t="inlineStr">
        <is>
          <t>配備</t>
        </is>
      </c>
      <c r="C4" s="3" t="inlineStr">
        <is>
          <t>C</t>
        </is>
      </c>
      <c r="D4" s="3">
        <f>COUNTIFS(project!$D$2:$D$1041,$A4,project!$C$2:$C$1041,"0")+COUNTIFS(project!$E$2:$E$1041,$A4,project!$C$2:$C$1041,"0")</f>
        <v/>
      </c>
      <c r="E4" s="3" t="inlineStr">
        <is>
          <t>配備時</t>
        </is>
      </c>
    </row>
    <row r="5">
      <c r="A5" s="3">
        <f>ROW()-2</f>
        <v/>
      </c>
      <c r="B5" s="3" t="inlineStr">
        <is>
          <t>打ち上げ/転回</t>
        </is>
      </c>
      <c r="C5" s="3" t="inlineStr">
        <is>
          <t>D</t>
        </is>
      </c>
      <c r="D5" s="3">
        <f>COUNTIFS(project!$D$2:$D$1041,$A5,project!$C$2:$C$1041,"0")+COUNTIFS(project!$E$2:$E$1041,$A5,project!$C$2:$C$1041,"0")</f>
        <v/>
      </c>
      <c r="E5" s="3" t="inlineStr">
        <is>
          <t>打ち上げ時</t>
        </is>
      </c>
      <c r="F5" s="3" t="inlineStr">
        <is>
          <t>転回時</t>
        </is>
      </c>
    </row>
    <row r="6">
      <c r="A6" s="3">
        <f>ROW()-2</f>
        <v/>
      </c>
      <c r="B6" s="3" t="inlineStr">
        <is>
          <t>通信確立</t>
        </is>
      </c>
      <c r="C6" s="3" t="inlineStr">
        <is>
          <t>D</t>
        </is>
      </c>
      <c r="D6" s="3">
        <f>COUNTIFS(project!$D$2:$D$1041,$A6,project!$C$2:$C$1041,"0")+COUNTIFS(project!$E$2:$E$1041,$A6,project!$C$2:$C$1041,"0")</f>
        <v/>
      </c>
      <c r="E6" s="3" t="inlineStr">
        <is>
          <t>通信確立時</t>
        </is>
      </c>
    </row>
    <row r="7">
      <c r="A7" s="3">
        <f>ROW()-2</f>
        <v/>
      </c>
      <c r="B7" s="3" t="inlineStr">
        <is>
          <t>企画</t>
        </is>
      </c>
      <c r="C7" s="3" t="inlineStr">
        <is>
          <t>S</t>
        </is>
      </c>
      <c r="D7" s="3">
        <f>COUNTIFS(project!$D$2:$D$1041,$A7,project!$C$2:$C$1041,"0")+COUNTIFS(project!$E$2:$E$1041,$A7,project!$C$2:$C$1041,"0")</f>
        <v/>
      </c>
      <c r="E7" s="3" t="inlineStr">
        <is>
          <t>企画時</t>
        </is>
      </c>
    </row>
    <row r="8">
      <c r="A8" s="3">
        <f>ROW()-2</f>
        <v/>
      </c>
      <c r="B8" s="3" t="inlineStr">
        <is>
          <t>循環</t>
        </is>
      </c>
      <c r="C8" s="3" t="inlineStr">
        <is>
          <t>S</t>
        </is>
      </c>
      <c r="D8" s="3">
        <f>COUNTIFS(project!$D$2:$D$1041,$A8,project!$C$2:$C$1041,"0")+COUNTIFS(project!$E$2:$E$1041,$A8,project!$C$2:$C$1041,"0")</f>
        <v/>
      </c>
      <c r="E8" s="3" t="inlineStr">
        <is>
          <t>地域間移動時</t>
        </is>
      </c>
      <c r="F8" s="3" t="inlineStr">
        <is>
          <t>海陸間移動時</t>
        </is>
      </c>
    </row>
    <row r="9">
      <c r="A9" s="3">
        <f>ROW()-2</f>
        <v/>
      </c>
      <c r="B9" s="3" t="inlineStr">
        <is>
          <t>常時</t>
        </is>
      </c>
      <c r="C9" s="3" t="inlineStr">
        <is>
          <t>N</t>
        </is>
      </c>
      <c r="D9" s="3">
        <f>COUNTIFS(project!$D$2:$D$1041,$A9,project!$C$2:$C$1041,"0")+COUNTIFS(project!$E$2:$E$1041,$A9,project!$C$2:$C$1041,"0")</f>
        <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2.63" defaultRowHeight="15.75" customHeight="1"/>
  <cols>
    <col width="10.38" customWidth="1" style="17" min="1" max="1"/>
    <col width="9.380000000000001" customWidth="1" style="17" min="2" max="2"/>
    <col width="5.25" customWidth="1" style="17" min="3" max="3"/>
    <col width="18.88" customWidth="1" style="17" min="4" max="4"/>
    <col width="42.63" customWidth="1" style="17" min="5" max="5"/>
    <col width="25.38" customWidth="1" style="17" min="6" max="6"/>
  </cols>
  <sheetData>
    <row r="1">
      <c r="A1" s="3" t="inlineStr">
        <is>
          <t>alphabet</t>
        </is>
      </c>
      <c r="B1" s="3" t="inlineStr">
        <is>
          <t>name</t>
        </is>
      </c>
      <c r="C1" s="3" t="inlineStr">
        <is>
          <t>n</t>
        </is>
      </c>
    </row>
    <row r="2">
      <c r="A2" s="3" t="inlineStr">
        <is>
          <t>C</t>
        </is>
      </c>
      <c r="B2" s="3" t="inlineStr">
        <is>
          <t>crew</t>
        </is>
      </c>
      <c r="C2" s="3">
        <f>COUNTIFS(project!$G$2:$G$1041,$A2,project!$C$2:$C$1041,"0")</f>
        <v/>
      </c>
      <c r="D2" s="3" t="inlineStr">
        <is>
          <t>アクション選択フェイズ,Ph1~2</t>
        </is>
      </c>
    </row>
    <row r="3">
      <c r="A3" s="3" t="inlineStr">
        <is>
          <t>D</t>
        </is>
      </c>
      <c r="B3" s="3" t="inlineStr">
        <is>
          <t>device</t>
        </is>
      </c>
      <c r="C3" s="3">
        <f>COUNTIFS(project!$G$2:$G$1041,$A3,project!$C$2:$C$1041,"0")</f>
        <v/>
      </c>
      <c r="D3" s="3" t="inlineStr">
        <is>
          <t>Ph3~4</t>
        </is>
      </c>
    </row>
    <row r="4">
      <c r="A4" s="3" t="inlineStr">
        <is>
          <t>S</t>
        </is>
      </c>
      <c r="B4" s="3" t="inlineStr">
        <is>
          <t>software</t>
        </is>
      </c>
      <c r="C4" s="3">
        <f>COUNTIFS(project!$G$2:$G$1041,$A4,project!$C$2:$C$1041,"0")</f>
        <v/>
      </c>
      <c r="D4" s="3" t="inlineStr">
        <is>
          <t>Ph5,循環フェイズ</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2A</t>
        </is>
      </c>
      <c r="B1" s="3" t="inlineStr">
        <is>
          <t>2A</t>
        </is>
      </c>
      <c r="C1" s="3" t="inlineStr">
        <is>
          <t>1A</t>
        </is>
      </c>
      <c r="D1" s="3" t="inlineStr">
        <is>
          <t>1B</t>
        </is>
      </c>
      <c r="E1" s="3" t="inlineStr">
        <is>
          <t>2B</t>
        </is>
      </c>
      <c r="F1" s="3" t="inlineStr">
        <is>
          <t>2B</t>
        </is>
      </c>
      <c r="G1" s="3" t="inlineStr">
        <is>
          <t>2C</t>
        </is>
      </c>
      <c r="H1" s="3" t="inlineStr">
        <is>
          <t>2C</t>
        </is>
      </c>
      <c r="I1" s="3" t="inlineStr">
        <is>
          <t>2C</t>
        </is>
      </c>
      <c r="J1" s="3" t="inlineStr">
        <is>
          <t>2D</t>
        </is>
      </c>
      <c r="K1" s="3" t="inlineStr">
        <is>
          <t>1D</t>
        </is>
      </c>
      <c r="L1" s="3" t="inlineStr">
        <is>
          <t>1D</t>
        </is>
      </c>
    </row>
    <row r="2">
      <c r="A2" s="3" t="inlineStr">
        <is>
          <t>2A</t>
        </is>
      </c>
      <c r="B2" s="3" t="inlineStr">
        <is>
          <t>1A</t>
        </is>
      </c>
      <c r="C2" s="3" t="inlineStr">
        <is>
          <t>1A</t>
        </is>
      </c>
      <c r="D2" s="3" t="inlineStr">
        <is>
          <t>1B</t>
        </is>
      </c>
      <c r="E2" s="3" t="inlineStr">
        <is>
          <t>1B</t>
        </is>
      </c>
      <c r="F2" s="3" t="inlineStr">
        <is>
          <t>2B</t>
        </is>
      </c>
      <c r="G2" s="3" t="inlineStr">
        <is>
          <t>2C</t>
        </is>
      </c>
      <c r="H2" s="3" t="inlineStr">
        <is>
          <t>1C</t>
        </is>
      </c>
      <c r="I2" s="3" t="inlineStr">
        <is>
          <t>1C</t>
        </is>
      </c>
      <c r="J2" s="3" t="inlineStr">
        <is>
          <t>1D</t>
        </is>
      </c>
      <c r="K2" s="3" t="inlineStr">
        <is>
          <t>2D</t>
        </is>
      </c>
      <c r="L2" s="3" t="inlineStr">
        <is>
          <t>2D</t>
        </is>
      </c>
    </row>
    <row r="3">
      <c r="A3" s="3" t="inlineStr">
        <is>
          <t>1A</t>
        </is>
      </c>
      <c r="B3" s="3" t="inlineStr">
        <is>
          <t>1A</t>
        </is>
      </c>
      <c r="C3" s="3" t="inlineStr">
        <is>
          <t>1A</t>
        </is>
      </c>
      <c r="D3" s="3" t="inlineStr">
        <is>
          <t>1B</t>
        </is>
      </c>
      <c r="E3" s="3" t="inlineStr">
        <is>
          <t>1B</t>
        </is>
      </c>
      <c r="F3" s="3" t="inlineStr">
        <is>
          <t>2B</t>
        </is>
      </c>
      <c r="G3" s="3" t="inlineStr">
        <is>
          <t>2C</t>
        </is>
      </c>
      <c r="H3" s="3" t="inlineStr">
        <is>
          <t>2C</t>
        </is>
      </c>
      <c r="I3" s="3" t="inlineStr">
        <is>
          <t>1C</t>
        </is>
      </c>
      <c r="J3" s="3" t="inlineStr">
        <is>
          <t>1D</t>
        </is>
      </c>
      <c r="K3" s="3" t="inlineStr">
        <is>
          <t>2D</t>
        </is>
      </c>
      <c r="L3" s="3" t="inlineStr">
        <is>
          <t>2D</t>
        </is>
      </c>
    </row>
    <row r="4">
      <c r="A4" s="3" t="inlineStr">
        <is>
          <t>1E</t>
        </is>
      </c>
      <c r="B4" s="3" t="inlineStr">
        <is>
          <t>1E</t>
        </is>
      </c>
      <c r="C4" s="3" t="inlineStr">
        <is>
          <t>2E</t>
        </is>
      </c>
      <c r="D4" s="3" t="inlineStr">
        <is>
          <t>1F</t>
        </is>
      </c>
      <c r="E4" s="3" t="inlineStr">
        <is>
          <t>1F</t>
        </is>
      </c>
      <c r="F4" s="3" t="inlineStr">
        <is>
          <t>2F</t>
        </is>
      </c>
      <c r="G4" s="3" t="inlineStr">
        <is>
          <t>2G</t>
        </is>
      </c>
      <c r="H4" s="3" t="inlineStr">
        <is>
          <t>2G</t>
        </is>
      </c>
      <c r="I4" s="3" t="inlineStr">
        <is>
          <t>2G</t>
        </is>
      </c>
      <c r="J4" s="3" t="inlineStr">
        <is>
          <t>1H</t>
        </is>
      </c>
      <c r="K4" s="3" t="inlineStr">
        <is>
          <t>2H</t>
        </is>
      </c>
      <c r="L4" s="3" t="inlineStr">
        <is>
          <t>2H</t>
        </is>
      </c>
    </row>
    <row r="5">
      <c r="A5" s="3" t="inlineStr">
        <is>
          <t>2E</t>
        </is>
      </c>
      <c r="B5" s="3" t="inlineStr">
        <is>
          <t>1E</t>
        </is>
      </c>
      <c r="C5" s="3" t="inlineStr">
        <is>
          <t>2E</t>
        </is>
      </c>
      <c r="D5" s="3" t="inlineStr">
        <is>
          <t>2F</t>
        </is>
      </c>
      <c r="E5" s="3" t="inlineStr">
        <is>
          <t>2F</t>
        </is>
      </c>
      <c r="F5" s="3" t="inlineStr">
        <is>
          <t>1F</t>
        </is>
      </c>
      <c r="G5" s="3" t="inlineStr">
        <is>
          <t>2G</t>
        </is>
      </c>
      <c r="H5" s="3" t="inlineStr">
        <is>
          <t>2G</t>
        </is>
      </c>
      <c r="I5" s="3" t="inlineStr">
        <is>
          <t>2G</t>
        </is>
      </c>
      <c r="J5" s="3" t="inlineStr">
        <is>
          <t>1H</t>
        </is>
      </c>
      <c r="K5" s="3" t="inlineStr">
        <is>
          <t>1H</t>
        </is>
      </c>
      <c r="L5" s="3" t="inlineStr">
        <is>
          <t>2H</t>
        </is>
      </c>
    </row>
    <row r="6">
      <c r="A6" s="3" t="inlineStr">
        <is>
          <t>2E</t>
        </is>
      </c>
      <c r="B6" s="3" t="inlineStr">
        <is>
          <t>2E</t>
        </is>
      </c>
      <c r="C6" s="3" t="inlineStr">
        <is>
          <t>2E</t>
        </is>
      </c>
      <c r="D6" s="3" t="inlineStr">
        <is>
          <t>2F</t>
        </is>
      </c>
      <c r="E6" s="3" t="inlineStr">
        <is>
          <t>2F</t>
        </is>
      </c>
      <c r="F6" s="3" t="inlineStr">
        <is>
          <t>2F</t>
        </is>
      </c>
      <c r="G6" s="3" t="inlineStr">
        <is>
          <t>2G</t>
        </is>
      </c>
      <c r="H6" s="3" t="inlineStr">
        <is>
          <t>2G</t>
        </is>
      </c>
      <c r="I6" s="3" t="inlineStr">
        <is>
          <t>2G</t>
        </is>
      </c>
      <c r="J6" s="3" t="inlineStr">
        <is>
          <t>1H</t>
        </is>
      </c>
      <c r="K6" s="3" t="inlineStr">
        <is>
          <t>2H</t>
        </is>
      </c>
      <c r="L6" s="3" t="inlineStr">
        <is>
          <t>2H</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OA</t>
        </is>
      </c>
      <c r="B1" s="3" t="inlineStr">
        <is>
          <t>RA</t>
        </is>
      </c>
      <c r="C1" s="3" t="inlineStr">
        <is>
          <t>SA</t>
        </is>
      </c>
      <c r="D1" s="3" t="inlineStr">
        <is>
          <t>SB</t>
        </is>
      </c>
      <c r="E1" s="3" t="inlineStr">
        <is>
          <t>RB</t>
        </is>
      </c>
      <c r="F1" s="3" t="inlineStr">
        <is>
          <t>OB</t>
        </is>
      </c>
      <c r="G1" s="3" t="inlineStr">
        <is>
          <t>OC</t>
        </is>
      </c>
      <c r="H1" s="3" t="inlineStr">
        <is>
          <t>OC</t>
        </is>
      </c>
      <c r="I1" s="3" t="inlineStr">
        <is>
          <t>OC</t>
        </is>
      </c>
      <c r="J1" s="3" t="inlineStr">
        <is>
          <t>RD</t>
        </is>
      </c>
      <c r="K1" s="3" t="inlineStr">
        <is>
          <t>SD</t>
        </is>
      </c>
      <c r="L1" s="3" t="inlineStr">
        <is>
          <t>SD</t>
        </is>
      </c>
    </row>
    <row r="2">
      <c r="A2" s="3" t="inlineStr">
        <is>
          <t>RA</t>
        </is>
      </c>
      <c r="B2" s="3" t="inlineStr">
        <is>
          <t>FA</t>
        </is>
      </c>
      <c r="C2" s="3" t="inlineStr">
        <is>
          <t>FA</t>
        </is>
      </c>
      <c r="D2" s="3" t="inlineStr">
        <is>
          <t>MB</t>
        </is>
      </c>
      <c r="E2" s="3" t="inlineStr">
        <is>
          <t>FB</t>
        </is>
      </c>
      <c r="F2" s="3" t="inlineStr">
        <is>
          <t>RB</t>
        </is>
      </c>
      <c r="G2" s="3" t="inlineStr">
        <is>
          <t>OC</t>
        </is>
      </c>
      <c r="H2" s="3" t="inlineStr">
        <is>
          <t>SC</t>
        </is>
      </c>
      <c r="I2" s="3" t="inlineStr">
        <is>
          <t>MC</t>
        </is>
      </c>
      <c r="J2" s="3" t="inlineStr">
        <is>
          <t>LD</t>
        </is>
      </c>
      <c r="K2" s="3" t="inlineStr">
        <is>
          <t>RD</t>
        </is>
      </c>
      <c r="L2" s="3" t="inlineStr">
        <is>
          <t>DD</t>
        </is>
      </c>
    </row>
    <row r="3">
      <c r="A3" s="3" t="inlineStr">
        <is>
          <t>LA</t>
        </is>
      </c>
      <c r="B3" s="3" t="inlineStr">
        <is>
          <t>MA</t>
        </is>
      </c>
      <c r="C3" s="3" t="inlineStr">
        <is>
          <t>LA</t>
        </is>
      </c>
      <c r="D3" s="3" t="inlineStr">
        <is>
          <t>MB</t>
        </is>
      </c>
      <c r="E3" s="3" t="inlineStr">
        <is>
          <t>LB</t>
        </is>
      </c>
      <c r="F3" s="3" t="inlineStr">
        <is>
          <t>RB</t>
        </is>
      </c>
      <c r="G3" s="3" t="inlineStr">
        <is>
          <t>DC</t>
        </is>
      </c>
      <c r="H3" s="3" t="inlineStr">
        <is>
          <t>RC</t>
        </is>
      </c>
      <c r="I3" s="3" t="inlineStr">
        <is>
          <t>LC</t>
        </is>
      </c>
      <c r="J3" s="3" t="inlineStr">
        <is>
          <t>FD</t>
        </is>
      </c>
      <c r="K3" s="3" t="inlineStr">
        <is>
          <t>RD</t>
        </is>
      </c>
      <c r="L3" s="3" t="inlineStr">
        <is>
          <t>OD</t>
        </is>
      </c>
    </row>
    <row r="4">
      <c r="A4" s="3" t="inlineStr">
        <is>
          <t>ME</t>
        </is>
      </c>
      <c r="B4" s="3" t="inlineStr">
        <is>
          <t>LE</t>
        </is>
      </c>
      <c r="C4" s="3" t="inlineStr">
        <is>
          <t>RE</t>
        </is>
      </c>
      <c r="D4" s="3" t="inlineStr">
        <is>
          <t>MF</t>
        </is>
      </c>
      <c r="E4" s="3" t="inlineStr">
        <is>
          <t>FF</t>
        </is>
      </c>
      <c r="F4" s="3" t="inlineStr">
        <is>
          <t>RF</t>
        </is>
      </c>
      <c r="G4" s="3" t="inlineStr">
        <is>
          <t>DG</t>
        </is>
      </c>
      <c r="H4" s="3" t="inlineStr">
        <is>
          <t>DG</t>
        </is>
      </c>
      <c r="I4" s="3" t="inlineStr">
        <is>
          <t>RG</t>
        </is>
      </c>
      <c r="J4" s="3" t="inlineStr">
        <is>
          <t>FH</t>
        </is>
      </c>
      <c r="K4" s="3" t="inlineStr">
        <is>
          <t>RH</t>
        </is>
      </c>
      <c r="L4" s="3" t="inlineStr">
        <is>
          <t>DH</t>
        </is>
      </c>
    </row>
    <row r="5">
      <c r="A5" s="3" t="inlineStr">
        <is>
          <t>RE</t>
        </is>
      </c>
      <c r="B5" s="3" t="inlineStr">
        <is>
          <t>ME</t>
        </is>
      </c>
      <c r="C5" s="3" t="inlineStr">
        <is>
          <t>RE</t>
        </is>
      </c>
      <c r="D5" s="3" t="inlineStr">
        <is>
          <t>RF</t>
        </is>
      </c>
      <c r="E5" s="3" t="inlineStr">
        <is>
          <t>RF</t>
        </is>
      </c>
      <c r="F5" s="3" t="inlineStr">
        <is>
          <t>LF</t>
        </is>
      </c>
      <c r="G5" s="3" t="inlineStr">
        <is>
          <t>RG</t>
        </is>
      </c>
      <c r="H5" s="3" t="inlineStr">
        <is>
          <t>DG</t>
        </is>
      </c>
      <c r="I5" s="3" t="inlineStr">
        <is>
          <t>RG</t>
        </is>
      </c>
      <c r="J5" s="3" t="inlineStr">
        <is>
          <t>FH</t>
        </is>
      </c>
      <c r="K5" s="3" t="inlineStr">
        <is>
          <t>FH</t>
        </is>
      </c>
      <c r="L5" s="3" t="inlineStr">
        <is>
          <t>RH</t>
        </is>
      </c>
    </row>
    <row r="6">
      <c r="A6" s="3" t="inlineStr">
        <is>
          <t>OE</t>
        </is>
      </c>
      <c r="B6" s="3" t="inlineStr">
        <is>
          <t>RE</t>
        </is>
      </c>
      <c r="C6" s="3" t="inlineStr">
        <is>
          <t>OE</t>
        </is>
      </c>
      <c r="D6" s="3" t="inlineStr">
        <is>
          <t>OF</t>
        </is>
      </c>
      <c r="E6" s="3" t="inlineStr">
        <is>
          <t>OF</t>
        </is>
      </c>
      <c r="F6" s="3" t="inlineStr">
        <is>
          <t>OF</t>
        </is>
      </c>
      <c r="G6" s="3" t="inlineStr">
        <is>
          <t>SG</t>
        </is>
      </c>
      <c r="H6" s="3" t="inlineStr">
        <is>
          <t>OG</t>
        </is>
      </c>
      <c r="I6" s="3" t="inlineStr">
        <is>
          <t>RG</t>
        </is>
      </c>
      <c r="J6" s="3" t="inlineStr">
        <is>
          <t>SH</t>
        </is>
      </c>
      <c r="K6" s="3" t="inlineStr">
        <is>
          <t>RH</t>
        </is>
      </c>
      <c r="L6" s="3" t="inlineStr">
        <is>
          <t>OH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11"/>
  <sheetViews>
    <sheetView workbookViewId="0">
      <selection activeCell="A1" sqref="A1"/>
    </sheetView>
  </sheetViews>
  <sheetFormatPr baseColWidth="8" defaultColWidth="12.63" defaultRowHeight="15.75" customHeight="1"/>
  <cols>
    <col width="5" customWidth="1" style="17" min="1" max="1"/>
    <col width="11.25" customWidth="1" style="17" min="2" max="2"/>
    <col width="17.63" customWidth="1" style="17" min="3" max="3"/>
    <col width="4.38" customWidth="1" style="17" min="6" max="6"/>
    <col width="8.25" customWidth="1" style="17" min="7" max="7"/>
    <col width="5.5" customWidth="1" style="17" min="8" max="9"/>
    <col width="6.5" customWidth="1" style="17" min="10" max="10"/>
    <col width="33.63" customWidth="1" style="17" min="11" max="11"/>
  </cols>
  <sheetData>
    <row r="1">
      <c r="A1" s="3" t="n"/>
      <c r="B1" s="3" t="inlineStr">
        <is>
          <t>area</t>
        </is>
      </c>
      <c r="C1" s="3" t="inlineStr">
        <is>
          <t>area2</t>
        </is>
      </c>
      <c r="D1" s="3" t="n"/>
      <c r="E1" s="3" t="n"/>
      <c r="F1" s="3" t="inlineStr">
        <is>
          <t>id</t>
        </is>
      </c>
      <c r="G1" s="3" t="inlineStr">
        <is>
          <t>name</t>
        </is>
      </c>
      <c r="H1" s="3" t="inlineStr">
        <is>
          <t>alp</t>
        </is>
      </c>
      <c r="I1" s="3" t="inlineStr">
        <is>
          <t>cost</t>
        </is>
      </c>
      <c r="J1" s="3" t="inlineStr">
        <is>
          <t>score</t>
        </is>
      </c>
      <c r="K1" s="3" t="inlineStr">
        <is>
          <t>effect</t>
        </is>
      </c>
      <c r="L1" s="3" t="inlineStr">
        <is>
          <t>attribute</t>
        </is>
      </c>
    </row>
    <row r="2">
      <c r="A2" s="3" t="inlineStr">
        <is>
          <t>A</t>
        </is>
      </c>
      <c r="B2" s="3" t="inlineStr">
        <is>
          <t>欧州</t>
        </is>
      </c>
      <c r="C2" s="3" t="inlineStr">
        <is>
          <t>ヨーロッパ</t>
        </is>
      </c>
      <c r="D2" s="3" t="n"/>
      <c r="E2" s="3" t="n"/>
      <c r="F2" s="3">
        <f>ROW()-1</f>
        <v/>
      </c>
      <c r="G2" s="3" t="inlineStr">
        <is>
          <t>陸</t>
        </is>
      </c>
      <c r="H2" s="3" t="inlineStr">
        <is>
          <t>L</t>
        </is>
      </c>
      <c r="I2" s="3" t="n">
        <v>5</v>
      </c>
      <c r="J2" s="3" t="n">
        <v>2</v>
      </c>
      <c r="L2" s="3" t="n">
        <v>1</v>
      </c>
    </row>
    <row r="3">
      <c r="A3" s="3" t="inlineStr">
        <is>
          <t>B</t>
        </is>
      </c>
      <c r="B3" s="3" t="inlineStr">
        <is>
          <t>アジア</t>
        </is>
      </c>
      <c r="C3" s="3" t="inlineStr">
        <is>
          <t>ロシア</t>
        </is>
      </c>
      <c r="D3" s="3" t="n"/>
      <c r="E3" s="3" t="n"/>
      <c r="F3" s="3">
        <f>ROW()-1</f>
        <v/>
      </c>
      <c r="G3" s="3" t="inlineStr">
        <is>
          <t>海</t>
        </is>
      </c>
      <c r="H3" s="3" t="inlineStr">
        <is>
          <t>O</t>
        </is>
      </c>
      <c r="I3" s="3" t="n">
        <v>2</v>
      </c>
      <c r="J3" s="3" t="n">
        <v>1</v>
      </c>
      <c r="L3" s="3" t="n">
        <v>2</v>
      </c>
    </row>
    <row r="4">
      <c r="A4" s="3" t="inlineStr">
        <is>
          <t>C</t>
        </is>
      </c>
      <c r="B4" s="3" t="inlineStr">
        <is>
          <t>太平洋1</t>
        </is>
      </c>
      <c r="C4" s="3" t="inlineStr">
        <is>
          <t>太平洋</t>
        </is>
      </c>
      <c r="D4" s="3" t="n"/>
      <c r="E4" s="3" t="n"/>
      <c r="F4" s="3">
        <f>ROW()-1</f>
        <v/>
      </c>
      <c r="G4" s="3" t="inlineStr">
        <is>
          <t>森林</t>
        </is>
      </c>
      <c r="H4" s="3" t="inlineStr">
        <is>
          <t>F</t>
        </is>
      </c>
      <c r="I4" s="3" t="n">
        <v>5</v>
      </c>
      <c r="J4" s="3" t="n">
        <v>2</v>
      </c>
      <c r="K4" s="3" t="inlineStr">
        <is>
          <t>先着1名：5マヤ獲得</t>
        </is>
      </c>
      <c r="L4" s="3" t="n">
        <v>1</v>
      </c>
    </row>
    <row r="5">
      <c r="A5" s="3" t="inlineStr">
        <is>
          <t>D</t>
        </is>
      </c>
      <c r="B5" s="3" t="inlineStr">
        <is>
          <t>北アメリカ</t>
        </is>
      </c>
      <c r="C5" s="3" t="inlineStr">
        <is>
          <t>北アメリカ</t>
        </is>
      </c>
      <c r="D5" s="3" t="n"/>
      <c r="E5" s="3" t="n"/>
      <c r="F5" s="3">
        <f>ROW()-1</f>
        <v/>
      </c>
      <c r="G5" s="3" t="inlineStr">
        <is>
          <t>山岳</t>
        </is>
      </c>
      <c r="H5" s="3" t="inlineStr">
        <is>
          <t>M</t>
        </is>
      </c>
      <c r="I5" s="3" t="n">
        <v>5</v>
      </c>
      <c r="J5" s="3" t="n">
        <v>2</v>
      </c>
      <c r="K5" s="3" t="inlineStr">
        <is>
          <t>先着1名：プロジェクトカードを1枚引く</t>
        </is>
      </c>
      <c r="L5" s="3" t="n">
        <v>1</v>
      </c>
    </row>
    <row r="6">
      <c r="A6" s="3" t="inlineStr">
        <is>
          <t>E</t>
        </is>
      </c>
      <c r="B6" s="3" t="inlineStr">
        <is>
          <t>アフリカ</t>
        </is>
      </c>
      <c r="C6" s="3" t="inlineStr">
        <is>
          <t>アフリカ</t>
        </is>
      </c>
      <c r="D6" s="3" t="n"/>
      <c r="E6" s="3" t="n"/>
      <c r="F6" s="3">
        <f>ROW()-1</f>
        <v/>
      </c>
      <c r="G6" s="3" t="inlineStr">
        <is>
          <t>雪原</t>
        </is>
      </c>
      <c r="H6" s="3" t="inlineStr">
        <is>
          <t>S</t>
        </is>
      </c>
      <c r="I6" s="3" t="n">
        <v>8</v>
      </c>
      <c r="J6" s="3" t="n">
        <v>2</v>
      </c>
      <c r="K6" s="3" t="inlineStr">
        <is>
          <t>予算+1</t>
        </is>
      </c>
      <c r="L6" s="3" t="n">
        <v>1</v>
      </c>
    </row>
    <row r="7">
      <c r="A7" s="3" t="inlineStr">
        <is>
          <t>F</t>
        </is>
      </c>
      <c r="B7" s="3" t="inlineStr">
        <is>
          <t>オセアニア</t>
        </is>
      </c>
      <c r="C7" s="3" t="inlineStr">
        <is>
          <t>アジア</t>
        </is>
      </c>
      <c r="D7" s="3" t="n"/>
      <c r="E7" s="3" t="n"/>
      <c r="F7" s="3">
        <f>ROW()-1</f>
        <v/>
      </c>
      <c r="G7" s="3" t="inlineStr">
        <is>
          <t>深海</t>
        </is>
      </c>
      <c r="H7" s="3" t="inlineStr">
        <is>
          <t>D</t>
        </is>
      </c>
      <c r="I7" s="3" t="n">
        <v>2</v>
      </c>
      <c r="J7" s="3" t="n">
        <v>1</v>
      </c>
      <c r="K7" s="3" t="inlineStr">
        <is>
          <t>燃料を2回復</t>
        </is>
      </c>
      <c r="L7" s="3" t="n">
        <v>2</v>
      </c>
    </row>
    <row r="8">
      <c r="A8" s="3" t="inlineStr">
        <is>
          <t>G</t>
        </is>
      </c>
      <c r="B8" s="3" t="inlineStr">
        <is>
          <t>太平洋2</t>
        </is>
      </c>
      <c r="C8" s="3" t="inlineStr">
        <is>
          <t>南極</t>
        </is>
      </c>
      <c r="F8" s="3">
        <f>ROW()-1</f>
        <v/>
      </c>
      <c r="G8" s="3" t="inlineStr">
        <is>
          <t>岩礁</t>
        </is>
      </c>
      <c r="H8" s="3" t="inlineStr">
        <is>
          <t>R</t>
        </is>
      </c>
      <c r="I8" s="3" t="n">
        <v>2</v>
      </c>
      <c r="J8" s="3" t="n">
        <v>1</v>
      </c>
      <c r="K8" s="3" t="inlineStr">
        <is>
          <t>隣接する陸区域の通信確立コスト-1</t>
        </is>
      </c>
      <c r="L8" s="3" t="n">
        <v>2</v>
      </c>
    </row>
    <row r="9">
      <c r="A9" s="3" t="inlineStr">
        <is>
          <t>H</t>
        </is>
      </c>
      <c r="B9" s="3" t="inlineStr">
        <is>
          <t>南アメリカ</t>
        </is>
      </c>
      <c r="C9" s="3" t="inlineStr">
        <is>
          <t>南アメリカ・大西洋</t>
        </is>
      </c>
      <c r="G9" s="3" t="inlineStr">
        <is>
          <t>火山</t>
        </is>
      </c>
      <c r="H9" s="3" t="inlineStr">
        <is>
          <t>V</t>
        </is>
      </c>
    </row>
    <row r="10">
      <c r="G10" s="3" t="inlineStr">
        <is>
          <t>砂漠</t>
        </is>
      </c>
      <c r="H10" s="3" t="inlineStr">
        <is>
          <t>E</t>
        </is>
      </c>
    </row>
    <row r="11">
      <c r="G11" s="3" t="inlineStr">
        <is>
          <t>海底火山</t>
        </is>
      </c>
      <c r="H11" s="3" t="inlineStr">
        <is>
          <t>U</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5"/>
  <sheetViews>
    <sheetView workbookViewId="0">
      <selection activeCell="A1" sqref="A1"/>
    </sheetView>
  </sheetViews>
  <sheetFormatPr baseColWidth="8" defaultColWidth="12.63" defaultRowHeight="15.75" customHeight="1"/>
  <cols>
    <col width="5.25" customWidth="1" style="17" min="1" max="1"/>
    <col width="5.88" customWidth="1" style="17" min="2" max="2"/>
    <col width="6.75" customWidth="1" style="17" min="4" max="4"/>
    <col width="9.25" customWidth="1" style="17" min="5" max="5"/>
    <col width="12.63" customWidth="1" style="17" min="6" max="6"/>
    <col width="57.75" customWidth="1" style="17" min="7" max="7"/>
    <col width="6.13" customWidth="1" style="17" min="8" max="11"/>
  </cols>
  <sheetData>
    <row r="1">
      <c r="A1" s="3" t="inlineStr">
        <is>
          <t>rev</t>
        </is>
      </c>
      <c r="B1" s="3" t="inlineStr">
        <is>
          <t>initial</t>
        </is>
      </c>
      <c r="C1" s="3" t="inlineStr">
        <is>
          <t>type</t>
        </is>
      </c>
      <c r="D1" s="3" t="inlineStr">
        <is>
          <t>no</t>
        </is>
      </c>
      <c r="E1" s="3" t="inlineStr">
        <is>
          <t>card_no</t>
        </is>
      </c>
      <c r="F1" s="3" t="inlineStr">
        <is>
          <t>name</t>
        </is>
      </c>
      <c r="G1" s="3" t="inlineStr">
        <is>
          <t>comparison</t>
        </is>
      </c>
      <c r="H1" s="3" t="inlineStr">
        <is>
          <t>first</t>
        </is>
      </c>
      <c r="I1" s="3" t="inlineStr">
        <is>
          <t>second</t>
        </is>
      </c>
      <c r="J1" s="3" t="inlineStr">
        <is>
          <t>thrid</t>
        </is>
      </c>
      <c r="K1" s="3" t="inlineStr">
        <is>
          <t>fourth</t>
        </is>
      </c>
    </row>
    <row r="2">
      <c r="A2" s="3" t="n"/>
      <c r="B2" s="3" t="n">
        <v>1</v>
      </c>
      <c r="C2" s="3" t="inlineStr">
        <is>
          <t>通信確立</t>
        </is>
      </c>
      <c r="D2" s="3">
        <f>ROW()-1</f>
        <v/>
      </c>
      <c r="E2" s="3">
        <f>"T"&amp;TEXT(D2,"000")</f>
        <v/>
      </c>
      <c r="F2" s="3" t="inlineStr">
        <is>
          <t>海上覇権</t>
        </is>
      </c>
      <c r="G2" s="3" t="inlineStr">
        <is>
          <t>海区域の通信確立数</t>
        </is>
      </c>
      <c r="H2" s="3" t="n">
        <v>18</v>
      </c>
      <c r="I2" s="3" t="n">
        <v>12</v>
      </c>
      <c r="J2" s="3" t="n">
        <v>6</v>
      </c>
      <c r="K2" s="3" t="n">
        <v>0</v>
      </c>
    </row>
    <row r="3">
      <c r="A3" s="3" t="n"/>
      <c r="B3" s="3" t="n">
        <v>1</v>
      </c>
      <c r="C3" s="3" t="inlineStr">
        <is>
          <t>通信確立</t>
        </is>
      </c>
      <c r="D3" s="3">
        <f>ROW()-1</f>
        <v/>
      </c>
      <c r="E3" s="3">
        <f>"T"&amp;TEXT(D3,"000")</f>
        <v/>
      </c>
      <c r="F3" s="3" t="inlineStr">
        <is>
          <t>大陸覇権</t>
        </is>
      </c>
      <c r="G3" s="3" t="inlineStr">
        <is>
          <t>陸区域の通信確立数</t>
        </is>
      </c>
      <c r="H3" s="3" t="n">
        <v>18</v>
      </c>
      <c r="I3" s="3" t="n">
        <v>12</v>
      </c>
      <c r="J3" s="3" t="n">
        <v>6</v>
      </c>
      <c r="K3" s="3" t="n">
        <v>0</v>
      </c>
    </row>
    <row r="4">
      <c r="A4" s="3" t="n"/>
      <c r="B4" s="3" t="n"/>
      <c r="C4" s="3" t="inlineStr">
        <is>
          <t>通信確立</t>
        </is>
      </c>
      <c r="D4" s="3">
        <f>ROW()-1</f>
        <v/>
      </c>
      <c r="E4" s="3">
        <f>"T"&amp;TEXT(D4,"000")</f>
        <v/>
      </c>
      <c r="F4" s="3" t="inlineStr">
        <is>
          <t>独立覇権</t>
        </is>
      </c>
      <c r="G4" s="3" t="inlineStr">
        <is>
          <t>非連結な通信確立済み区域のまとまりの数</t>
        </is>
      </c>
      <c r="H4" s="3" t="n">
        <v>18</v>
      </c>
      <c r="I4" s="3" t="n">
        <v>12</v>
      </c>
      <c r="J4" s="3" t="n">
        <v>6</v>
      </c>
      <c r="K4" s="3" t="n">
        <v>0</v>
      </c>
    </row>
    <row r="5">
      <c r="A5" s="3" t="n"/>
      <c r="B5" s="3" t="n"/>
      <c r="C5" s="3" t="inlineStr">
        <is>
          <t>通信確立</t>
        </is>
      </c>
      <c r="D5" s="3">
        <f>ROW()-1</f>
        <v/>
      </c>
      <c r="E5" s="3">
        <f>"T"&amp;TEXT(D5,"000")</f>
        <v/>
      </c>
      <c r="F5" s="3" t="inlineStr">
        <is>
          <t>連鎖覇権</t>
        </is>
      </c>
      <c r="G5" s="3" t="inlineStr">
        <is>
          <t>通信確立済み区域の最大連結数</t>
        </is>
      </c>
      <c r="H5" s="3" t="n">
        <v>18</v>
      </c>
      <c r="I5" s="3" t="n">
        <v>12</v>
      </c>
      <c r="J5" s="3" t="n">
        <v>6</v>
      </c>
      <c r="K5" s="3" t="n">
        <v>0</v>
      </c>
    </row>
    <row r="6">
      <c r="A6" s="3" t="n"/>
      <c r="B6" s="3" t="n"/>
      <c r="C6" s="3" t="inlineStr">
        <is>
          <t>通信確立</t>
        </is>
      </c>
      <c r="D6" s="3">
        <f>ROW()-1</f>
        <v/>
      </c>
      <c r="E6" s="3">
        <f>"T"&amp;TEXT(D6,"000")</f>
        <v/>
      </c>
      <c r="F6" s="3" t="inlineStr">
        <is>
          <t>欧阿太平覇権</t>
        </is>
      </c>
      <c r="G6" s="3" t="inlineStr">
        <is>
          <t>地域A,C,E,Gの通信確立数</t>
        </is>
      </c>
      <c r="H6" s="3" t="n">
        <v>18</v>
      </c>
      <c r="I6" s="3" t="n">
        <v>12</v>
      </c>
      <c r="J6" s="3" t="n">
        <v>6</v>
      </c>
      <c r="K6" s="3" t="n">
        <v>0</v>
      </c>
    </row>
    <row r="7">
      <c r="A7" s="3" t="n"/>
      <c r="B7" s="3" t="n"/>
      <c r="C7" s="3" t="inlineStr">
        <is>
          <t>通信確立</t>
        </is>
      </c>
      <c r="D7" s="3">
        <f>ROW()-1</f>
        <v/>
      </c>
      <c r="E7" s="3">
        <f>"T"&amp;TEXT(D7,"000")</f>
        <v/>
      </c>
      <c r="F7" s="3" t="inlineStr">
        <is>
          <t>露亜南北覇権</t>
        </is>
      </c>
      <c r="G7" s="3" t="inlineStr">
        <is>
          <t>地域B,D,F,Hの通信確立数</t>
        </is>
      </c>
      <c r="H7" s="3" t="n">
        <v>18</v>
      </c>
      <c r="I7" s="3" t="n">
        <v>12</v>
      </c>
      <c r="J7" s="3" t="n">
        <v>6</v>
      </c>
      <c r="K7" s="3" t="n">
        <v>0</v>
      </c>
    </row>
    <row r="8">
      <c r="B8" s="3" t="n"/>
      <c r="C8" s="3" t="inlineStr">
        <is>
          <t>通信確立</t>
        </is>
      </c>
      <c r="D8" s="3">
        <f>ROW()-1</f>
        <v/>
      </c>
      <c r="E8" s="3">
        <f>"T"&amp;TEXT(D8,"000")</f>
        <v/>
      </c>
      <c r="F8" s="3" t="inlineStr">
        <is>
          <t>虎視覇権</t>
        </is>
      </c>
      <c r="G8" s="3" t="inlineStr">
        <is>
          <t>2番目以降に通信確立済み区域数</t>
        </is>
      </c>
      <c r="H8" s="3" t="n">
        <v>18</v>
      </c>
      <c r="I8" s="3" t="n">
        <v>12</v>
      </c>
      <c r="J8" s="3" t="n">
        <v>6</v>
      </c>
      <c r="K8" s="3" t="n">
        <v>0</v>
      </c>
    </row>
    <row r="9">
      <c r="B9" s="3" t="n"/>
      <c r="C9" s="3" t="inlineStr">
        <is>
          <t>通信確立</t>
        </is>
      </c>
      <c r="D9" s="3">
        <f>ROW()-1</f>
        <v/>
      </c>
      <c r="E9" s="3">
        <f>"T"&amp;TEXT(D9,"000")</f>
        <v/>
      </c>
      <c r="F9" s="3" t="inlineStr">
        <is>
          <t>要塞覇権</t>
        </is>
      </c>
      <c r="G9" s="3" t="inlineStr">
        <is>
          <t>拠点に隣接した区域の通信確立済み区域数</t>
        </is>
      </c>
      <c r="H9" s="3" t="n">
        <v>18</v>
      </c>
      <c r="I9" s="3" t="n">
        <v>12</v>
      </c>
      <c r="J9" s="3" t="n">
        <v>6</v>
      </c>
      <c r="K9" s="3" t="n">
        <v>0</v>
      </c>
    </row>
    <row r="10">
      <c r="A10" s="3" t="n"/>
      <c r="B10" s="3" t="n">
        <v>2</v>
      </c>
      <c r="C10" s="3" t="inlineStr">
        <is>
          <t>プロジェクト</t>
        </is>
      </c>
      <c r="D10" s="3">
        <f>ROW()-1</f>
        <v/>
      </c>
      <c r="E10" s="3">
        <f>"T"&amp;TEXT(D10,"000")</f>
        <v/>
      </c>
      <c r="F10" s="3" t="inlineStr">
        <is>
          <t>連隊覇権</t>
        </is>
      </c>
      <c r="G10" s="3" t="inlineStr">
        <is>
          <t>Crewタイプのプロジェクトカードの配備数</t>
        </is>
      </c>
      <c r="H10" s="3" t="n">
        <v>18</v>
      </c>
      <c r="I10" s="3" t="n">
        <v>12</v>
      </c>
      <c r="J10" s="3" t="n">
        <v>6</v>
      </c>
      <c r="K10" s="3" t="n">
        <v>0</v>
      </c>
    </row>
    <row r="11">
      <c r="A11" s="3" t="n"/>
      <c r="B11" s="3" t="n">
        <v>2</v>
      </c>
      <c r="C11" s="3" t="inlineStr">
        <is>
          <t>プロジェクト</t>
        </is>
      </c>
      <c r="D11" s="3">
        <f>ROW()-1</f>
        <v/>
      </c>
      <c r="E11" s="3">
        <f>"T"&amp;TEXT(D11,"000")</f>
        <v/>
      </c>
      <c r="F11" s="3" t="inlineStr">
        <is>
          <t>駆動覇権</t>
        </is>
      </c>
      <c r="G11" s="3" t="inlineStr">
        <is>
          <t>Deviceタイプのプロジェクトカードの配備数</t>
        </is>
      </c>
      <c r="H11" s="3" t="n">
        <v>18</v>
      </c>
      <c r="I11" s="3" t="n">
        <v>12</v>
      </c>
      <c r="J11" s="3" t="n">
        <v>6</v>
      </c>
      <c r="K11" s="3" t="n">
        <v>0</v>
      </c>
    </row>
    <row r="12">
      <c r="A12" s="3" t="n"/>
      <c r="B12" s="3" t="n">
        <v>2</v>
      </c>
      <c r="C12" s="3" t="inlineStr">
        <is>
          <t>プロジェクト</t>
        </is>
      </c>
      <c r="D12" s="3">
        <f>ROW()-1</f>
        <v/>
      </c>
      <c r="E12" s="3">
        <f>"T"&amp;TEXT(D12,"000")</f>
        <v/>
      </c>
      <c r="F12" s="3" t="inlineStr">
        <is>
          <t>電脳覇権</t>
        </is>
      </c>
      <c r="G12" s="3" t="inlineStr">
        <is>
          <t>Softwareタイプのプロジェクトカードの配備数</t>
        </is>
      </c>
      <c r="H12" s="3" t="n">
        <v>18</v>
      </c>
      <c r="I12" s="3" t="n">
        <v>12</v>
      </c>
      <c r="J12" s="3" t="n">
        <v>6</v>
      </c>
      <c r="K12" s="3" t="n">
        <v>0</v>
      </c>
    </row>
    <row r="13">
      <c r="A13" s="3" t="n"/>
      <c r="B13" s="3" t="n"/>
      <c r="C13" s="3" t="inlineStr">
        <is>
          <t>プロジェクト</t>
        </is>
      </c>
      <c r="D13" s="3">
        <f>ROW()-1</f>
        <v/>
      </c>
      <c r="E13" s="3">
        <f>"T"&amp;TEXT(D13,"000")</f>
        <v/>
      </c>
      <c r="F13" s="3" t="inlineStr">
        <is>
          <t>軌道覇権</t>
        </is>
      </c>
      <c r="G13" s="3" t="inlineStr">
        <is>
          <t>Software, Crew, Deviceタイプのプロジェクトカードの配備数の最小値</t>
        </is>
      </c>
      <c r="H13" s="3" t="n">
        <v>18</v>
      </c>
      <c r="I13" s="3" t="n">
        <v>12</v>
      </c>
      <c r="J13" s="3" t="n">
        <v>6</v>
      </c>
      <c r="K13" s="3" t="n">
        <v>0</v>
      </c>
    </row>
    <row r="14">
      <c r="A14" s="3" t="n"/>
      <c r="B14" s="3" t="n"/>
      <c r="C14" s="3" t="inlineStr">
        <is>
          <t>金</t>
        </is>
      </c>
      <c r="D14" s="3">
        <f>ROW()-1</f>
        <v/>
      </c>
      <c r="E14" s="3">
        <f>"T"&amp;TEXT(D14,"000")</f>
        <v/>
      </c>
      <c r="F14" s="3" t="inlineStr">
        <is>
          <t>星脈覇権</t>
        </is>
      </c>
      <c r="G14" s="3" t="inlineStr">
        <is>
          <t>予算値</t>
        </is>
      </c>
      <c r="H14" s="3" t="n">
        <v>18</v>
      </c>
      <c r="I14" s="3" t="n">
        <v>12</v>
      </c>
      <c r="J14" s="3" t="n">
        <v>6</v>
      </c>
      <c r="K14" s="3" t="n">
        <v>0</v>
      </c>
    </row>
    <row r="15">
      <c r="A15" s="3" t="n"/>
      <c r="B15" s="3" t="n"/>
      <c r="C15" s="3" t="inlineStr">
        <is>
          <t>金</t>
        </is>
      </c>
      <c r="D15" s="3">
        <f>ROW()-1</f>
        <v/>
      </c>
      <c r="E15" s="3">
        <f>"T"&amp;TEXT(D15,"000")</f>
        <v/>
      </c>
      <c r="F15" s="3" t="inlineStr">
        <is>
          <t>摩耶覇権</t>
        </is>
      </c>
      <c r="G15" s="3" t="inlineStr">
        <is>
          <t>所持[マネー]合計</t>
        </is>
      </c>
      <c r="H15" s="3" t="n">
        <v>18</v>
      </c>
      <c r="I15" s="3" t="n">
        <v>12</v>
      </c>
      <c r="J15" s="3" t="n">
        <v>6</v>
      </c>
      <c r="K15" s="3" t="n">
        <v>0</v>
      </c>
    </row>
    <row r="16">
      <c r="A16" s="3" t="n"/>
      <c r="B16" s="3" t="n"/>
      <c r="C16" s="3" t="inlineStr">
        <is>
          <t>燃料</t>
        </is>
      </c>
      <c r="D16" s="3">
        <f>ROW()-1</f>
        <v/>
      </c>
      <c r="E16" s="3">
        <f>"T"&amp;TEXT(D16,"000")</f>
        <v/>
      </c>
      <c r="F16" s="3" t="inlineStr">
        <is>
          <t>火焔覇権</t>
        </is>
      </c>
      <c r="G16" s="3" t="inlineStr">
        <is>
          <t>稼働中の衛星の残燃料の合計値</t>
        </is>
      </c>
      <c r="H16" s="3" t="n">
        <v>18</v>
      </c>
      <c r="I16" s="3" t="n">
        <v>12</v>
      </c>
      <c r="J16" s="3" t="n">
        <v>6</v>
      </c>
      <c r="K16" s="3" t="n">
        <v>0</v>
      </c>
    </row>
    <row r="17">
      <c r="A17" s="3" t="n"/>
      <c r="B17" s="3" t="n"/>
      <c r="C17" s="3" t="inlineStr">
        <is>
          <t>燃料</t>
        </is>
      </c>
      <c r="D17" s="3">
        <f>ROW()-1</f>
        <v/>
      </c>
      <c r="E17" s="3">
        <f>"T"&amp;TEXT(D17,"000")</f>
        <v/>
      </c>
      <c r="F17" s="3" t="inlineStr">
        <is>
          <t>業魔覇権</t>
        </is>
      </c>
      <c r="G17" s="3" t="inlineStr">
        <is>
          <t>特定の衛星の最大積載燃料</t>
        </is>
      </c>
      <c r="H17" s="3" t="n">
        <v>18</v>
      </c>
      <c r="I17" s="3" t="n">
        <v>12</v>
      </c>
      <c r="J17" s="3" t="n">
        <v>6</v>
      </c>
      <c r="K17" s="3" t="n">
        <v>0</v>
      </c>
    </row>
    <row r="18">
      <c r="A18" s="3" t="n">
        <v>1</v>
      </c>
      <c r="C18" s="3" t="inlineStr">
        <is>
          <t>通信確立</t>
        </is>
      </c>
      <c r="D18" s="3">
        <f>ROW()-1</f>
        <v/>
      </c>
      <c r="E18" s="3">
        <f>"T"&amp;TEXT(D18,"000")</f>
        <v/>
      </c>
      <c r="F18" s="3" t="inlineStr">
        <is>
          <t>平原覇権</t>
        </is>
      </c>
      <c r="G18" s="3" t="inlineStr">
        <is>
          <t>標準陸区域・森林区域の通信確立数</t>
        </is>
      </c>
      <c r="H18" s="3" t="n">
        <v>18</v>
      </c>
      <c r="I18" s="3" t="n">
        <v>12</v>
      </c>
      <c r="J18" s="3" t="n">
        <v>6</v>
      </c>
      <c r="K18" s="3" t="n">
        <v>0</v>
      </c>
    </row>
    <row r="19">
      <c r="A19" s="3" t="n">
        <v>1</v>
      </c>
      <c r="C19" s="3" t="inlineStr">
        <is>
          <t>通信確立</t>
        </is>
      </c>
      <c r="D19" s="3">
        <f>ROW()-1</f>
        <v/>
      </c>
      <c r="E19" s="3">
        <f>"T"&amp;TEXT(D19,"000")</f>
        <v/>
      </c>
      <c r="F19" s="3" t="inlineStr">
        <is>
          <t>夕凪覇権</t>
        </is>
      </c>
      <c r="G19" s="3" t="inlineStr">
        <is>
          <t>標準海区域の通信確立数</t>
        </is>
      </c>
      <c r="H19" s="3" t="n">
        <v>18</v>
      </c>
      <c r="I19" s="3" t="n">
        <v>12</v>
      </c>
      <c r="J19" s="3" t="n">
        <v>6</v>
      </c>
      <c r="K19" s="3" t="n">
        <v>0</v>
      </c>
    </row>
    <row r="20">
      <c r="A20" s="3" t="n">
        <v>1</v>
      </c>
      <c r="B20" s="3" t="n"/>
      <c r="C20" s="3" t="inlineStr">
        <is>
          <t>通信確立</t>
        </is>
      </c>
      <c r="D20" s="3">
        <f>ROW()-1</f>
        <v/>
      </c>
      <c r="E20" s="3">
        <f>"T"&amp;TEXT(D20,"000")</f>
        <v/>
      </c>
      <c r="F20" s="3" t="inlineStr">
        <is>
          <t>山麓覇権</t>
        </is>
      </c>
      <c r="G20" s="3" t="inlineStr">
        <is>
          <t>山岳区域に隣接した海区域の通信確立数</t>
        </is>
      </c>
      <c r="H20" s="3" t="n">
        <v>18</v>
      </c>
      <c r="I20" s="3" t="n">
        <v>12</v>
      </c>
      <c r="J20" s="3" t="n">
        <v>6</v>
      </c>
      <c r="K20" s="3" t="n">
        <v>0</v>
      </c>
    </row>
    <row r="21">
      <c r="A21" s="3" t="n">
        <v>1</v>
      </c>
      <c r="B21" s="3" t="n"/>
      <c r="C21" s="3" t="inlineStr">
        <is>
          <t>通信確立</t>
        </is>
      </c>
      <c r="D21" s="3">
        <f>ROW()-1</f>
        <v/>
      </c>
      <c r="E21" s="3">
        <f>"T"&amp;TEXT(D21,"000")</f>
        <v/>
      </c>
      <c r="F21" s="3" t="inlineStr">
        <is>
          <t>氷霧覇権</t>
        </is>
      </c>
      <c r="G21" s="3" t="inlineStr">
        <is>
          <t>雪原区域に隣接した海区域の通信確立数</t>
        </is>
      </c>
      <c r="H21" s="3" t="n">
        <v>18</v>
      </c>
      <c r="I21" s="3" t="n">
        <v>12</v>
      </c>
      <c r="J21" s="3" t="n">
        <v>6</v>
      </c>
      <c r="K21" s="3" t="n">
        <v>0</v>
      </c>
    </row>
    <row r="22">
      <c r="A22" s="3" t="n">
        <v>1</v>
      </c>
      <c r="B22" s="3" t="n"/>
      <c r="C22" s="3" t="inlineStr">
        <is>
          <t>通信確立</t>
        </is>
      </c>
      <c r="D22" s="3">
        <f>ROW()-1</f>
        <v/>
      </c>
      <c r="E22" s="3">
        <f>"T"&amp;TEXT(D22,"000")</f>
        <v/>
      </c>
      <c r="F22" s="3" t="inlineStr">
        <is>
          <t>植栽覇権</t>
        </is>
      </c>
      <c r="G22" s="3" t="inlineStr">
        <is>
          <t>森林区域に隣接した海区域の通信確立数</t>
        </is>
      </c>
      <c r="H22" s="3" t="n">
        <v>18</v>
      </c>
      <c r="I22" s="3" t="n">
        <v>12</v>
      </c>
      <c r="J22" s="3" t="n">
        <v>6</v>
      </c>
      <c r="K22" s="3" t="n">
        <v>0</v>
      </c>
    </row>
    <row r="23">
      <c r="A23" s="3" t="n">
        <v>1</v>
      </c>
      <c r="B23" s="3" t="n"/>
      <c r="C23" s="3" t="inlineStr">
        <is>
          <t>通信確立</t>
        </is>
      </c>
      <c r="D23" s="3">
        <f>ROW()-1</f>
        <v/>
      </c>
      <c r="E23" s="3">
        <f>"T"&amp;TEXT(D23,"000")</f>
        <v/>
      </c>
      <c r="F23" s="3" t="inlineStr">
        <is>
          <t>神域覇権</t>
        </is>
      </c>
      <c r="G23" s="3" t="inlineStr">
        <is>
          <t>連続した通信確立済み区域における区域種数の最大</t>
        </is>
      </c>
      <c r="H23" s="3" t="n">
        <v>18</v>
      </c>
      <c r="I23" s="3" t="n">
        <v>12</v>
      </c>
      <c r="J23" s="3" t="n">
        <v>6</v>
      </c>
      <c r="K23" s="3" t="n">
        <v>0</v>
      </c>
    </row>
    <row r="24">
      <c r="A24" s="3" t="n">
        <v>1</v>
      </c>
      <c r="B24" s="3" t="n"/>
      <c r="C24" s="3" t="inlineStr">
        <is>
          <t>通信確立</t>
        </is>
      </c>
      <c r="D24" s="3">
        <f>ROW()-1</f>
        <v/>
      </c>
      <c r="E24" s="3">
        <f>"T"&amp;TEXT(D24,"000")</f>
        <v/>
      </c>
      <c r="F24" s="3" t="inlineStr">
        <is>
          <t>深淵覇権</t>
        </is>
      </c>
      <c r="G24" s="3" t="inlineStr">
        <is>
          <t>深海区域に隣接した海区域の通信確立数</t>
        </is>
      </c>
      <c r="H24" s="3" t="n">
        <v>18</v>
      </c>
      <c r="I24" s="3" t="n">
        <v>12</v>
      </c>
      <c r="J24" s="3" t="n">
        <v>6</v>
      </c>
      <c r="K24" s="3" t="n">
        <v>0</v>
      </c>
    </row>
    <row r="25">
      <c r="A25" s="3" t="n">
        <v>1</v>
      </c>
      <c r="B25" s="3" t="n"/>
      <c r="C25" s="3" t="inlineStr">
        <is>
          <t>通信確立</t>
        </is>
      </c>
      <c r="D25" s="3">
        <f>ROW()-1</f>
        <v/>
      </c>
      <c r="E25" s="3">
        <f>"T"&amp;TEXT(D25,"000")</f>
        <v/>
      </c>
      <c r="F25" s="3" t="inlineStr">
        <is>
          <t>常盤覇権</t>
        </is>
      </c>
      <c r="G25" s="3" t="inlineStr">
        <is>
          <t>岩礁区域に隣接した陸区域の通信確立数</t>
        </is>
      </c>
      <c r="H25" s="3" t="n">
        <v>18</v>
      </c>
      <c r="I25" s="3" t="n">
        <v>12</v>
      </c>
      <c r="J25" s="3" t="n">
        <v>6</v>
      </c>
      <c r="K25" s="3" t="n">
        <v>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D6"/>
  <sheetViews>
    <sheetView workbookViewId="0">
      <selection activeCell="A1" sqref="A1"/>
    </sheetView>
  </sheetViews>
  <sheetFormatPr baseColWidth="8" defaultColWidth="12.63" defaultRowHeight="15.75" customHeight="1"/>
  <cols>
    <col width="5" customWidth="1" style="17" min="1" max="1"/>
    <col width="11.88" customWidth="1" style="17" min="2" max="2"/>
    <col width="31.13" customWidth="1" style="17" min="3" max="3"/>
    <col width="25.63" customWidth="1" style="17" min="4" max="4"/>
  </cols>
  <sheetData>
    <row r="1">
      <c r="A1" s="3" t="inlineStr">
        <is>
          <t>id</t>
        </is>
      </c>
      <c r="B1" s="3" t="inlineStr">
        <is>
          <t>name</t>
        </is>
      </c>
      <c r="C1" s="3" t="inlineStr">
        <is>
          <t>action</t>
        </is>
      </c>
      <c r="D1" s="3" t="inlineStr">
        <is>
          <t>bonus</t>
        </is>
      </c>
    </row>
    <row r="2">
      <c r="A2" s="3">
        <f>ROW()-1</f>
        <v/>
      </c>
      <c r="B2" s="3" t="inlineStr">
        <is>
          <t>予算発行</t>
        </is>
      </c>
      <c r="C2" s="3" t="inlineStr">
        <is>
          <t>予算だけマネー獲得</t>
        </is>
      </c>
      <c r="D2" s="3" t="inlineStr">
        <is>
          <t>マネー+6</t>
        </is>
      </c>
    </row>
    <row r="3">
      <c r="A3" s="3">
        <f>ROW()-1</f>
        <v/>
      </c>
      <c r="B3" s="3" t="inlineStr">
        <is>
          <t>配備</t>
        </is>
      </c>
      <c r="C3" s="3" t="inlineStr">
        <is>
          <t>配備1プレイ(稼働中の衛星は+5マネー)</t>
        </is>
      </c>
      <c r="D3" s="3" t="inlineStr">
        <is>
          <t>追加1プレイ/1ドロー</t>
        </is>
      </c>
    </row>
    <row r="4">
      <c r="A4" s="3">
        <f>ROW()-1</f>
        <v/>
      </c>
      <c r="B4" s="3" t="inlineStr">
        <is>
          <t>打ち上げ/転回</t>
        </is>
      </c>
      <c r="C4" s="3" t="inlineStr">
        <is>
          <t>打ち上げ/転回</t>
        </is>
      </c>
      <c r="D4" s="3" t="inlineStr">
        <is>
          <t>予算+1/追加転回</t>
        </is>
      </c>
    </row>
    <row r="5">
      <c r="A5" s="3">
        <f>ROW()-1</f>
        <v/>
      </c>
      <c r="B5" s="3" t="inlineStr">
        <is>
          <t>通信確立</t>
        </is>
      </c>
      <c r="C5" s="3" t="inlineStr">
        <is>
          <t>通信確立(陸5マネー、海2マネー)</t>
        </is>
      </c>
      <c r="D5" s="3" t="inlineStr">
        <is>
          <t>追加通信確立（追加の通信確立は進行方向前後も可能）</t>
        </is>
      </c>
    </row>
    <row r="6">
      <c r="A6" s="3">
        <f>ROW()-1</f>
        <v/>
      </c>
      <c r="B6" s="3" t="inlineStr">
        <is>
          <t>企画</t>
        </is>
      </c>
      <c r="C6" s="3" t="inlineStr">
        <is>
          <t>2ドロー1捨て</t>
        </is>
      </c>
      <c r="D6" s="3" t="inlineStr">
        <is>
          <t>代わりに5ドロー3捨て</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023"/>
  <sheetViews>
    <sheetView workbookViewId="0">
      <selection activeCell="A1" sqref="A1"/>
    </sheetView>
  </sheetViews>
  <sheetFormatPr baseColWidth="8" defaultColWidth="12.63" defaultRowHeight="15.75" customHeight="1"/>
  <cols>
    <col width="22.38" customWidth="1" style="17" min="2" max="2"/>
    <col width="52.25" customWidth="1" style="17" min="3" max="4"/>
    <col width="10.63" customWidth="1" style="17" min="5" max="5"/>
  </cols>
  <sheetData>
    <row r="1">
      <c r="A1" s="3" t="inlineStr">
        <is>
          <t>main_card_ids</t>
        </is>
      </c>
      <c r="B1" s="3" t="inlineStr">
        <is>
          <t>sub_card_ids</t>
        </is>
      </c>
      <c r="C1" s="13" t="inlineStr">
        <is>
          <t>question</t>
        </is>
      </c>
      <c r="D1" s="13" t="inlineStr">
        <is>
          <t>answer</t>
        </is>
      </c>
      <c r="E1" s="3" t="inlineStr">
        <is>
          <t>importance</t>
        </is>
      </c>
      <c r="F1" s="0" t="inlineStr">
        <is>
          <t>category</t>
        </is>
      </c>
      <c r="G1" s="0" t="inlineStr">
        <is>
          <t>status</t>
        </is>
      </c>
      <c r="H1" s="0" t="inlineStr">
        <is>
          <t>note</t>
        </is>
      </c>
    </row>
    <row r="2">
      <c r="A2" s="3" t="n"/>
      <c r="B2" s="3" t="n"/>
      <c r="C2" s="13" t="inlineStr">
        <is>
          <t>自分の複数の衛星コマが同じ区域上にある場合、ニアミスとみなされますか？</t>
        </is>
      </c>
      <c r="D2" s="13" t="inlineStr">
        <is>
          <t>はい、みなされます。同じ区域上に複数の衛星コマがある全ての衛星はニアミスとみなされます。</t>
        </is>
      </c>
      <c r="E2" s="3" t="n">
        <v>5</v>
      </c>
      <c r="F2" s="0" t="inlineStr">
        <is>
          <t>循環・燃料</t>
        </is>
      </c>
      <c r="G2" s="0" t="inlineStr">
        <is>
          <t>既存</t>
        </is>
      </c>
    </row>
    <row r="3">
      <c r="A3" s="3" t="n"/>
      <c r="B3" s="3" t="n"/>
      <c r="C3" s="13" t="inlineStr">
        <is>
          <t>プロジェクトカードの山札が切れていた場合、プロジェクトカードはどこから補充しますか？</t>
        </is>
      </c>
      <c r="D3" s="13" t="inlineStr">
        <is>
          <t>プロジェクトカードの山札が空になった時点でプロジェクトカードの捨て札を全てシャッフルし、新しいプロジェクトカードの山札とします。</t>
        </is>
      </c>
      <c r="E3" s="3" t="n">
        <v>5</v>
      </c>
      <c r="F3" s="0" t="inlineStr">
        <is>
          <t>企画・手札</t>
        </is>
      </c>
      <c r="G3" s="0" t="inlineStr">
        <is>
          <t>既存</t>
        </is>
      </c>
    </row>
    <row r="4">
      <c r="A4" s="3" t="inlineStr">
        <is>
          <t>P004</t>
        </is>
      </c>
      <c r="B4" s="3" t="inlineStr">
        <is>
          <t>P034</t>
        </is>
      </c>
      <c r="C4" s="13" t="inlineStr">
        <is>
          <t>「軌道修正士」の効果で衛星を1区域進めた先に別の衛星が存在した場合、ニアミスにより燃料を2消費しますか。</t>
        </is>
      </c>
      <c r="D4" s="13" t="inlineStr">
        <is>
          <t>いいえ、燃料を消費しません。同一区域に衛星が存在することで燃料が消費されるのは、循環フェイズ中の「ニアミス判定」のときのみです。</t>
        </is>
      </c>
      <c r="E4" s="3" t="n">
        <v>3</v>
      </c>
      <c r="F4" s="0" t="inlineStr">
        <is>
          <t>予算発行</t>
        </is>
      </c>
      <c r="G4" s="0" t="inlineStr">
        <is>
          <t>既存</t>
        </is>
      </c>
    </row>
    <row r="5">
      <c r="A5" s="3" t="inlineStr">
        <is>
          <t>P006</t>
        </is>
      </c>
      <c r="B5" s="3" t="n"/>
      <c r="C5" s="13" t="inlineStr">
        <is>
          <t>予算発行フェイズ開始時の所持金が2マヤしかなく、予算発行フェイズで25マヤ獲得しました。この際、「予算折衝官」の効果で獲得した5マヤを支払い、予算を1上げることはできますか。</t>
        </is>
      </c>
      <c r="D5" s="13" t="inlineStr">
        <is>
          <t>いいえ、できません。「予算折衝官」の効果は予算発行フェイズの始めに発動するため、マヤを獲得する前に発動する必要があります。</t>
        </is>
      </c>
      <c r="E5" s="3" t="n">
        <v>1</v>
      </c>
      <c r="F5" s="0" t="inlineStr">
        <is>
          <t>予算発行</t>
        </is>
      </c>
      <c r="G5" s="0" t="inlineStr">
        <is>
          <t>既存</t>
        </is>
      </c>
    </row>
    <row r="6">
      <c r="A6" s="3" t="inlineStr">
        <is>
          <t>P006</t>
        </is>
      </c>
      <c r="B6" s="3" t="n"/>
      <c r="C6" s="13" t="inlineStr">
        <is>
          <t>「予算折衝官」の効果で、予算発行フェイズ開始時に予算を1上げました。この際、予算発行フェイズで獲得できるマヤは上昇後の予算に対応するだけ獲得できますか。</t>
        </is>
      </c>
      <c r="D6" s="13" t="inlineStr">
        <is>
          <t>はい、できます。「予算折衝官」の効果は予算発行フェイズの始めに発動するため、即座に予算が上昇し、予算発行フェイズで獲得可能なマヤが上昇します。</t>
        </is>
      </c>
      <c r="E6" s="3" t="n">
        <v>1</v>
      </c>
      <c r="F6" s="0" t="inlineStr">
        <is>
          <t>予算発行</t>
        </is>
      </c>
      <c r="G6" s="0" t="inlineStr">
        <is>
          <t>既存</t>
        </is>
      </c>
    </row>
    <row r="7">
      <c r="A7" s="3" t="inlineStr">
        <is>
          <t>P010,P012</t>
        </is>
      </c>
      <c r="B7" s="3" t="n"/>
      <c r="C7" s="13" t="inlineStr">
        <is>
          <t>「ドッキング整備技師」の効果は「地上整備技師」の上位互換に思えるのですが、効果テキストは正しいでしょうか。</t>
        </is>
      </c>
      <c r="D7" s="13" t="inlineStr">
        <is>
          <t>はい、効果テキストは正しいです。この2枚のカードは発動条件が異なります。「ドッキング整備技師」は配備されている衛星が稼働中であるときしか発動しない一方、「地上整備技師」は非稼働の状態でも発動するため、上位互換ではありません。稼働中のみ発動する効果は見落としやすいので注意してください。</t>
        </is>
      </c>
      <c r="E7" s="3" t="n">
        <v>1</v>
      </c>
      <c r="F7" s="0" t="inlineStr">
        <is>
          <t>配備</t>
        </is>
      </c>
      <c r="G7" s="0" t="inlineStr">
        <is>
          <t>既存</t>
        </is>
      </c>
    </row>
    <row r="8">
      <c r="A8" s="3" t="inlineStr">
        <is>
          <t>P010</t>
        </is>
      </c>
      <c r="B8" s="3" t="inlineStr">
        <is>
          <t>P014,P015,P016</t>
        </is>
      </c>
      <c r="C8" s="13" t="inlineStr">
        <is>
          <t>配備フェイズで「地上整備技師」を衛星CONCORDEに配備しました。配備アクションを選択したアクション選択ボーナスとして、別のプロジェクトカードをCONCORDEに配備しようとした際、「地上整備技師」の効果で配備コストは2削減されますか。</t>
        </is>
      </c>
      <c r="D8" s="13" t="inlineStr">
        <is>
          <t>はい、削減されます。各衛星の常時/起動時効果は、配備後すぐに発動するようになります。</t>
        </is>
      </c>
      <c r="E8" s="3" t="n">
        <v>1</v>
      </c>
      <c r="F8" s="0" t="inlineStr">
        <is>
          <t>配備</t>
        </is>
      </c>
      <c r="G8" s="0" t="inlineStr">
        <is>
          <t>既存</t>
        </is>
      </c>
    </row>
    <row r="9">
      <c r="A9" s="3" t="inlineStr">
        <is>
          <t>P022</t>
        </is>
      </c>
      <c r="B9" s="3" t="n"/>
      <c r="C9" s="13" t="inlineStr">
        <is>
          <t>「ジャグラー」を衛星に配備した際の効果で、プロジェクトカードを付け直した際、発動しない「配備時」効果は効果タイプが「配備時」のカードのみであり、効果タイプが「起動時」の他のカードを配備した際の効果は発動しますか。</t>
        </is>
      </c>
      <c r="D9" s="13" t="inlineStr">
        <is>
          <t>いいえ、いずれも発動しません。効果タイプが「配備時」のカードはそのカード自身を配備した際に発動する効果であるため発動せず、「起動時」のカードも効果発動タイミングが「配備時」であれば発動できません。</t>
        </is>
      </c>
      <c r="E9" s="3" t="n">
        <v>2</v>
      </c>
      <c r="F9" s="0" t="inlineStr">
        <is>
          <t>配備</t>
        </is>
      </c>
      <c r="G9" s="0" t="inlineStr">
        <is>
          <t>既存</t>
        </is>
      </c>
    </row>
    <row r="10">
      <c r="A10" s="3" t="inlineStr">
        <is>
          <t>P022</t>
        </is>
      </c>
      <c r="B10" s="3" t="n"/>
      <c r="C10" s="13" t="inlineStr">
        <is>
          <t>「ジャグラー」の効果テキスト文にある「待機中の衛星」とは、非稼働の衛星のことでしょうか。</t>
        </is>
      </c>
      <c r="D10" s="13" t="inlineStr">
        <is>
          <t>はい、非稼働の衛星のことです。</t>
        </is>
      </c>
      <c r="E10" s="3" t="n">
        <v>2</v>
      </c>
      <c r="F10" s="0" t="inlineStr">
        <is>
          <t>配備</t>
        </is>
      </c>
      <c r="G10" s="0" t="inlineStr">
        <is>
          <t>既存</t>
        </is>
      </c>
    </row>
    <row r="11">
      <c r="A11" s="3" t="inlineStr">
        <is>
          <t>P023</t>
        </is>
      </c>
      <c r="B11" s="3" t="inlineStr">
        <is>
          <t>P013,P019,P027,P030</t>
        </is>
      </c>
      <c r="C11" s="13" t="inlineStr">
        <is>
          <t>「統合プランナー」の効果は、稼働中の衛星に「統合プランナー」自身を配備したときにも発動できますか。</t>
        </is>
      </c>
      <c r="D11" s="13" t="inlineStr">
        <is>
          <t>いいえ、発動できません。配備時に起動する効果を持つカードは、そのカード自身を配備した時には発動しません。</t>
        </is>
      </c>
      <c r="E11" s="3" t="n">
        <v>4</v>
      </c>
      <c r="F11" s="0" t="inlineStr">
        <is>
          <t>配備</t>
        </is>
      </c>
      <c r="G11" s="0" t="inlineStr">
        <is>
          <t>既存</t>
        </is>
      </c>
    </row>
    <row r="12">
      <c r="A12" s="3" t="inlineStr">
        <is>
          <t>P024</t>
        </is>
      </c>
      <c r="B12" s="3" t="n"/>
      <c r="C12" s="13" t="inlineStr">
        <is>
          <t>燃料を8消費している衛星CONCORDEがあり、「スワップ技師」を衛星RETROに配備した際に「スワップ技師」の効果でCONCORDEとRETROの衛星消費量を入れ替えました。RETROの最大積載燃料が7であったとき、RETROは即座に着陸しますか。</t>
        </is>
      </c>
      <c r="D12" s="13" t="inlineStr">
        <is>
          <t>いいえ、即座には着陸しません。循環フェイズにおける「着陸・着水判定」の際に着陸したとみなされます。そのため、RETROの最大積載燃料を超えていた場合は、RETROの燃料庫の上（RETROに配備されている1番上に置かれているプロジェクトカードの燃料庫よりも上）に燃料コマを置き、その後のアクションフェイズを処理し、循環フェイズにおける「衛星コマの移動」「ニアミス判定」まで終わった後に「着陸・着水判定」されます。</t>
        </is>
      </c>
      <c r="E12" s="3" t="n">
        <v>4</v>
      </c>
      <c r="F12" s="0" t="inlineStr">
        <is>
          <t>循環・燃料</t>
        </is>
      </c>
      <c r="G12" s="0" t="inlineStr">
        <is>
          <t>既存</t>
        </is>
      </c>
    </row>
    <row r="13">
      <c r="A13" s="3" t="inlineStr">
        <is>
          <t>P024</t>
        </is>
      </c>
      <c r="B13" s="3" t="n"/>
      <c r="C13"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別のプロジェクトカードを衛星RETROに配備したとき、燃料コマは新しく配備したプロジェクトカードの1番下の燃料庫に置かれますか。</t>
        </is>
      </c>
      <c r="D13" s="13" t="inlineStr">
        <is>
          <t>いいえ、置かれません。燃料庫から燃料コマがはみ出た場合、燃料を回復する効果によって燃料コマが燃料庫に戻ることはありません。そのため、衛星RETROは循環フェイズの「着陸・着水判定」の際に着陸することとなります。</t>
        </is>
      </c>
      <c r="E13" s="3" t="n">
        <v>4</v>
      </c>
      <c r="F13" s="0" t="inlineStr">
        <is>
          <t>循環・燃料</t>
        </is>
      </c>
      <c r="G13" s="0" t="inlineStr">
        <is>
          <t>修正</t>
        </is>
      </c>
      <c r="H13" s="0" t="inlineStr">
        <is>
          <t>誤字修正（RETEO→RETRO）</t>
        </is>
      </c>
    </row>
    <row r="14">
      <c r="A14" s="3" t="inlineStr">
        <is>
          <t>P024</t>
        </is>
      </c>
      <c r="B14" s="3" t="inlineStr">
        <is>
          <t>P043,P048,P083,P084</t>
        </is>
      </c>
      <c r="C14"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循環フェイズでRETROは地域Bから地域Aの上空に突入し、「アルベドリフィル」の効果で燃料を2回復しました。この際、衛星RETROの残燃料（あといくつ燃料消費したら燃料コマが燃料庫の外に出るか）は2になりますか。</t>
        </is>
      </c>
      <c r="D14" s="13" t="inlineStr">
        <is>
          <t>いいえ、なりません。燃料庫から燃料コマがはみ出た場合、燃料を回復する効果によって燃料コマが燃料庫に戻ることはありません。そのため、衛星RETROは循環フェイズの「着陸・着水判定」の際に着陸することとなります。</t>
        </is>
      </c>
      <c r="E14" s="3" t="n">
        <v>4</v>
      </c>
      <c r="F14" s="0" t="inlineStr">
        <is>
          <t>循環・燃料</t>
        </is>
      </c>
      <c r="G14" s="0" t="inlineStr">
        <is>
          <t>修正</t>
        </is>
      </c>
      <c r="H14" s="0" t="inlineStr">
        <is>
          <t>誤字修正（RETEO→RETRO）</t>
        </is>
      </c>
    </row>
    <row r="15">
      <c r="A15" s="3" t="inlineStr">
        <is>
          <t>P034</t>
        </is>
      </c>
      <c r="B15" s="3" t="inlineStr">
        <is>
          <t>P004,P038,P081</t>
        </is>
      </c>
      <c r="C15" s="13" t="inlineStr">
        <is>
          <t>「加速ブースター」を配備している衛星の最大積載燃料は8、消費燃料は6です。このとき、「加速ブースター」の効果で5マヤ支払い、4区域分移動し、燃料を4消費することは可能ですか。</t>
        </is>
      </c>
      <c r="D15" s="13" t="inlineStr">
        <is>
          <t>いいえ、3区域分までしか移動できません。燃料を3消費すると、燃料コマは燃料庫の外に出ます。燃料コマが燃料庫の外に出ているとき、燃料を消費する効果や燃料を回復する効果で燃料コマを移動できなくなります。そのため、「加速ブースター」の効果で4マヤ支払い、燃料を3消費して、燃料コマが燃料庫の外に出ることはできますが、4区域移動するための効果発動はできません。</t>
        </is>
      </c>
      <c r="E15" s="3" t="n">
        <v>3</v>
      </c>
      <c r="F15" s="0" t="inlineStr">
        <is>
          <t>打ち上げ・転回</t>
        </is>
      </c>
      <c r="G15" s="0" t="inlineStr">
        <is>
          <t>既存</t>
        </is>
      </c>
    </row>
    <row r="16">
      <c r="A16" s="3" t="inlineStr">
        <is>
          <t>P035</t>
        </is>
      </c>
      <c r="B16" s="3" t="inlineStr">
        <is>
          <t>P013,P027,P028,P029,P030,P031,P032</t>
        </is>
      </c>
      <c r="C16" s="13" t="inlineStr">
        <is>
          <t>「ギャンブルシステム」の効果で打ち上げ時に、「ギャンブルシステム」を捨て、プロジェクトカードの山札の1番上のカードとして引いた「人事プランナー」を配備しました。この際、自分の稼働中の衛星に配備されている「人材育成官」の効果と「人事プランナー」の効果は発動できますか。</t>
        </is>
      </c>
      <c r="D16" s="13" t="inlineStr">
        <is>
          <t>「人材育成官」の効果のみ発動できます。自分のいずれかの衛星に配備した際に起動する効果は、「ギャンブルシステム」による配備でも通常通り発動します。一方、「人事プランナー」のようにプロジェクトカードを配備した際に起動する効果は、そのカード自身を配備した際には発動しません。</t>
        </is>
      </c>
      <c r="E16" s="3" t="n">
        <v>3</v>
      </c>
      <c r="F16" s="0" t="inlineStr">
        <is>
          <t>打ち上げ・転回</t>
        </is>
      </c>
      <c r="G16" s="0" t="inlineStr">
        <is>
          <t>修正</t>
        </is>
      </c>
      <c r="H16" s="0" t="inlineStr">
        <is>
          <t>打ち上げ時点で衛星は稼働中になるため、旧回答の「そもそも人事プランナーは非稼働の衛星に配備しても発動できない」の一文を削除</t>
        </is>
      </c>
    </row>
    <row r="17">
      <c r="A17" s="3" t="inlineStr">
        <is>
          <t>P037</t>
        </is>
      </c>
      <c r="B17" s="3" t="inlineStr">
        <is>
          <t>P043,P044,P045,P047</t>
        </is>
      </c>
      <c r="C17" s="13" t="inlineStr">
        <is>
          <t>打ち上げ・転回フェイズにおいて、衛星RETROを向きを変えずに360度転回しました。この際、「姿勢制御装置」の効果でプロジェクトカードを1枚獲得できますか。</t>
        </is>
      </c>
      <c r="D17" s="13" t="inlineStr">
        <is>
          <t>はい、できます。転回は方向を変えない360度転回を行い、転回時に起動する効果を発動することが可能です。</t>
        </is>
      </c>
      <c r="E17" s="3" t="n">
        <v>4</v>
      </c>
      <c r="F17" s="0" t="inlineStr">
        <is>
          <t>打ち上げ・転回</t>
        </is>
      </c>
      <c r="G17" s="0" t="inlineStr">
        <is>
          <t>修正</t>
        </is>
      </c>
      <c r="H17" s="0" t="inlineStr">
        <is>
          <t>カード名修正（姿勢制御システム→姿勢制御装置）</t>
        </is>
      </c>
    </row>
    <row r="18">
      <c r="A18" s="3" t="inlineStr">
        <is>
          <t>P038</t>
        </is>
      </c>
      <c r="C18" s="13" t="inlineStr">
        <is>
          <t>「燃料交換管」の効果テキストにある「搭載燃料」とはどういう意味ですか。</t>
        </is>
      </c>
      <c r="D18" s="13" t="inlineStr">
        <is>
          <t>「搭載燃料」とは、その衛星が使える燃料のことです。「燃料交換管」は打ち上げ時に発動する効果であり、打ち上げた時点では燃料は満タンのため、搭載燃料はその衛星の燃料庫の数（衛星カードと配備されているプロジェクトカードの燃料庫の合計）と同じです。例えば、燃料庫2の衛星RETROに燃料庫3の「人事プランナー」、燃料庫2の「軽量化フレーム」が配備されている場合、搭載燃料は7となります。</t>
        </is>
      </c>
      <c r="E18" s="3" t="n">
        <v>4</v>
      </c>
      <c r="F18" s="0" t="inlineStr">
        <is>
          <t>循環・燃料</t>
        </is>
      </c>
      <c r="G18" s="0" t="inlineStr">
        <is>
          <t>修正</t>
        </is>
      </c>
      <c r="H18" s="0" t="inlineStr">
        <is>
          <t>印刷版の用語（搭載燃料）に合わせて修正。打ち上げ時効果のため燃料庫の数と同義（確認済み）</t>
        </is>
      </c>
    </row>
    <row r="19">
      <c r="A19" s="3" t="inlineStr">
        <is>
          <t>P038</t>
        </is>
      </c>
      <c r="B19" s="3" t="inlineStr">
        <is>
          <t>P043,P048,P083,P084</t>
        </is>
      </c>
      <c r="C19" s="13" t="inlineStr">
        <is>
          <t>「燃料交換管」の効果テキストにある「初期燃料庫を超えて回復することはできない」とはどういう意味ですか。</t>
        </is>
      </c>
      <c r="D19" s="13" t="inlineStr">
        <is>
          <t>その衛星の衛星カード上の初期燃料庫（燃料庫の1番下）より下に燃料コマを移動することはできない、という意味です。同様に、他の燃料回復系のカード効果も、燃料が満タン（初期燃料庫に燃料コマが置かれている状態）であれば回復できません。</t>
        </is>
      </c>
      <c r="E19" s="3" t="n">
        <v>3</v>
      </c>
      <c r="F19" s="0" t="inlineStr">
        <is>
          <t>循環・燃料</t>
        </is>
      </c>
      <c r="G19" s="0" t="inlineStr">
        <is>
          <t>修正</t>
        </is>
      </c>
      <c r="H19" s="0" t="inlineStr">
        <is>
          <t>印刷版の効果文（初期燃料庫を超えて回復することはできない）に合わせて修正</t>
        </is>
      </c>
    </row>
    <row r="20">
      <c r="A20" s="3" t="inlineStr">
        <is>
          <t>P045</t>
        </is>
      </c>
      <c r="B20" s="3" t="inlineStr">
        <is>
          <t>P011,P074</t>
        </is>
      </c>
      <c r="C20" s="13" t="inlineStr">
        <is>
          <t>「軌道整備ドッグ」の効果によってプロジェクトカードを配備するとき、稼働中の衛星に対する追加配備コストを支払う必要はありますか。</t>
        </is>
      </c>
      <c r="D20" s="13" t="inlineStr">
        <is>
          <t>はい、あります。「配備コスト」は配備フェイズに限らず一貫してプロジェクトカードのコストと稼働有無によるコストの2つがあります。</t>
        </is>
      </c>
      <c r="E20" s="3" t="n">
        <v>4</v>
      </c>
      <c r="F20" s="0" t="inlineStr">
        <is>
          <t>打ち上げ・転回</t>
        </is>
      </c>
      <c r="G20" s="0" t="inlineStr">
        <is>
          <t>既存</t>
        </is>
      </c>
    </row>
    <row r="21">
      <c r="A21" s="3" t="inlineStr">
        <is>
          <t>P050</t>
        </is>
      </c>
      <c r="B21" s="3" t="inlineStr">
        <is>
          <t>P051</t>
        </is>
      </c>
      <c r="C21" s="13" t="inlineStr">
        <is>
          <t>「欧阿中継ネットワーク」が配備されている衛星RETROは地域A上にいます。衛星RETROが通信確立したとき、「欧阿中継ネットワーク」の効果によって地域Cにいる別の衛星で特殊通信確立できますか。</t>
        </is>
      </c>
      <c r="D21" s="13" t="inlineStr">
        <is>
          <t>はい、できます。2つの衛星は同一地域上にいる必要性はありません。</t>
        </is>
      </c>
      <c r="E21" s="3" t="n">
        <v>1</v>
      </c>
      <c r="F21" s="0" t="inlineStr">
        <is>
          <t>通信確立</t>
        </is>
      </c>
      <c r="G21" s="0" t="inlineStr">
        <is>
          <t>既存</t>
        </is>
      </c>
    </row>
    <row r="22">
      <c r="A22" s="3" t="inlineStr">
        <is>
          <t>P050</t>
        </is>
      </c>
      <c r="B22" s="3" t="inlineStr">
        <is>
          <t>P051,P058,P059,P060,P061</t>
        </is>
      </c>
      <c r="C22" s="13" t="inlineStr">
        <is>
          <t>「欧阿中継ネットワーク」が配備されている衛星RETROは地域A上にいます。このとき、通信確立フェイズのアクション選択ボーナスでRETROが進行方向後方の地域B内の区域を通信確立したとき、「欧阿中継ネットワーク」の効果は発動できますか。</t>
        </is>
      </c>
      <c r="D22" s="13" t="inlineStr">
        <is>
          <t>いいえ、発動できません。「この衛星が地域A,C,Eで通信確立したとき」とは、通信確立した区域が地域A,C,E内にあることを指します。この例では通信確立した区域が地域Bであるため発動しません。反対に、衛星が地域B上にいても、通信確立した区域が地域A,C,E内であれば発動できます。</t>
        </is>
      </c>
      <c r="E22" s="3" t="n">
        <v>5</v>
      </c>
      <c r="F22" s="0" t="inlineStr">
        <is>
          <t>通信確立</t>
        </is>
      </c>
      <c r="G22" s="0" t="inlineStr">
        <is>
          <t>修正</t>
        </is>
      </c>
      <c r="H22" s="0" t="inlineStr">
        <is>
          <t>印刷版の効果文（「上空にいるとき」が無い）に対するQAに修正。旧回答は「発動できる」</t>
        </is>
      </c>
    </row>
    <row r="23">
      <c r="A23" s="3" t="inlineStr">
        <is>
          <t>P050</t>
        </is>
      </c>
      <c r="B23" s="3" t="inlineStr">
        <is>
          <t>P047,P051,P058,P059,P096,P097,P099</t>
        </is>
      </c>
      <c r="C23" s="13" t="inlineStr">
        <is>
          <t>「欧阿中継ネットワーク」の効果で特殊通信確立可能な他の衛星は、その衛星の直下の区域のみ通信確立できますか。</t>
        </is>
      </c>
      <c r="D23" s="13" t="inlineStr">
        <is>
          <t>基本的にはそうです。ただし、「面舵アンテナ」などその衛星が通信確立対象区域を広げる効果を持っている場合は直下以外の区域も通信確立可能です。</t>
        </is>
      </c>
      <c r="E23" s="3" t="n">
        <v>5</v>
      </c>
      <c r="F23" s="0" t="inlineStr">
        <is>
          <t>通信確立</t>
        </is>
      </c>
      <c r="G23" s="0" t="inlineStr">
        <is>
          <t>既存</t>
        </is>
      </c>
    </row>
    <row r="24">
      <c r="A24" s="3" t="inlineStr">
        <is>
          <t>P052</t>
        </is>
      </c>
      <c r="B24" s="3" t="inlineStr">
        <is>
          <t>P053,P054,P062,P063,P064,P065</t>
        </is>
      </c>
      <c r="C24" s="13" t="inlineStr">
        <is>
          <t>「大陸アンテナ」の効果は、通信確立フェイズにおける通信確立アクション以外のカード効果による特殊通信確立などでも発動しますか。</t>
        </is>
      </c>
      <c r="D24" s="13" t="inlineStr">
        <is>
          <t>はい、発動します。通信確立アクション以外でも常に通信確立対象区域を拡大できます。</t>
        </is>
      </c>
      <c r="E24" s="3" t="n">
        <v>4</v>
      </c>
      <c r="F24" s="0" t="inlineStr">
        <is>
          <t>通信確立</t>
        </is>
      </c>
      <c r="G24" s="0" t="inlineStr">
        <is>
          <t>既存</t>
        </is>
      </c>
    </row>
    <row r="25">
      <c r="A25" s="3" t="inlineStr">
        <is>
          <t>P052,P057</t>
        </is>
      </c>
      <c r="B25" s="3" t="inlineStr">
        <is>
          <t>P053,P054,P062,P063,P064,P065,P056,P060,P061,P076,P098</t>
        </is>
      </c>
      <c r="C25" s="13" t="inlineStr">
        <is>
          <t>「後方広域送信機」の効果によって特殊通信確立する際、同じ衛星に「大陸アンテナ」が配備されていれば、進行方向後方の区域に加え、隣接する陸区域も通信確立対象区域に含まれますか。</t>
        </is>
      </c>
      <c r="D25" s="13" t="inlineStr">
        <is>
          <t>はい、含まれます。指定した区域を通信確立する際も、通信確立区域を広げる効果は適用されます。</t>
        </is>
      </c>
      <c r="E25" s="3" t="n">
        <v>4</v>
      </c>
      <c r="F25" s="0" t="inlineStr">
        <is>
          <t>通信確立</t>
        </is>
      </c>
      <c r="G25" s="0" t="inlineStr">
        <is>
          <t>修正</t>
        </is>
      </c>
      <c r="H25" s="0" t="inlineStr">
        <is>
          <t>xlsxではP056=後方広域送信機だが、印刷版はP056=前方広域送信機、P057=後方広域送信機のためIDを修正</t>
        </is>
      </c>
    </row>
    <row r="26">
      <c r="A26" s="3" t="inlineStr">
        <is>
          <t>P053</t>
        </is>
      </c>
      <c r="B26" s="3" t="inlineStr">
        <is>
          <t>P054,P064,P065</t>
        </is>
      </c>
      <c r="C26" s="13" t="inlineStr">
        <is>
          <t>「面舵アンテナ」を配備している衛星は、ボード最上部の段で左上を向いた状態です。このとき、「面舵アンテナ」による右側隣接区域は右隣の区域のみになりますか。</t>
        </is>
      </c>
      <c r="D26" s="13" t="inlineStr">
        <is>
          <t>はい、そうなります。循環フェイズでの「反射」を考慮して左隣の区域も進行方向の右側隣接区域と捉えることはできません。</t>
        </is>
      </c>
      <c r="E26" s="3" t="n">
        <v>3</v>
      </c>
      <c r="F26" s="0" t="inlineStr">
        <is>
          <t>通信確立</t>
        </is>
      </c>
      <c r="G26" s="0" t="inlineStr">
        <is>
          <t>既存</t>
        </is>
      </c>
    </row>
    <row r="27">
      <c r="A27" s="3" t="inlineStr">
        <is>
          <t>P056</t>
        </is>
      </c>
      <c r="B27" s="3" t="inlineStr">
        <is>
          <t>P057,A004</t>
        </is>
      </c>
      <c r="C27" s="13" t="inlineStr">
        <is>
          <t>「前方広域送信機」を配備している衛星は、ボード最上部の段で右上を向いた状態です。このとき、「前方広域送信機」の効果によって進行方向前方の区域として、衛星コマがある右下の区域を特殊通信確立できますか。</t>
        </is>
      </c>
      <c r="D27" s="13" t="inlineStr">
        <is>
          <t>いいえ、できません。循環フェイズでの「反射」を考慮して衛星コマ右下の区域を進行方向前方の隣接する区域と捉えることはできません。</t>
        </is>
      </c>
      <c r="F27" s="0" t="inlineStr">
        <is>
          <t>通信確立</t>
        </is>
      </c>
      <c r="G27" s="0" t="inlineStr">
        <is>
          <t>修正</t>
        </is>
      </c>
      <c r="H27" s="0" t="inlineStr">
        <is>
          <t>印刷版はP056=前方広域送信機のためIDを修正</t>
        </is>
      </c>
    </row>
    <row r="28">
      <c r="A28" s="3" t="inlineStr">
        <is>
          <t>P070</t>
        </is>
      </c>
      <c r="B28" s="3" t="n"/>
      <c r="C28" s="13" t="inlineStr">
        <is>
          <t>「スピンオフ」の効果で捨てる対象のプロジェクトカードは企画フェイズ中に引いたプロジェクトカードである必要はあるか。</t>
        </is>
      </c>
      <c r="D28" s="13" t="inlineStr">
        <is>
          <t>いいえ、ありません。手札にあるプロジェクトカードを1枚捨てればよいです。</t>
        </is>
      </c>
      <c r="E28" s="3" t="n">
        <v>1</v>
      </c>
      <c r="F28" s="0" t="inlineStr">
        <is>
          <t>企画・手札</t>
        </is>
      </c>
      <c r="G28" s="0" t="inlineStr">
        <is>
          <t>既存</t>
        </is>
      </c>
    </row>
    <row r="29">
      <c r="A29" s="3" t="inlineStr">
        <is>
          <t>P076,P049,P037,P067</t>
        </is>
      </c>
      <c r="B29" s="3" t="inlineStr">
        <is>
          <t>P075</t>
        </is>
      </c>
      <c r="C29" s="13" t="inlineStr">
        <is>
          <t>企画フェイズで「グラウンドリンク」の効果によって通信確立し、「可変軌道装置」の効果によって転回し、「姿勢制御装置」の効果によってプロジェクトカードを1枚引きました。このとき、「チュリュモフ」の効果によってプロジェクトカードを追加で1枚引けますか。</t>
        </is>
      </c>
      <c r="D29" s="13" t="inlineStr">
        <is>
          <t>いいえ、引けません。「チュリュモフ」の効果は、企画フェイズのメインアクション（またはアクション選択ボーナス）でプロジェクトカードを引く枚数にのみ適用されます。</t>
        </is>
      </c>
      <c r="E29" s="3" t="n">
        <v>1</v>
      </c>
      <c r="F29" s="0" t="inlineStr">
        <is>
          <t>企画・手札</t>
        </is>
      </c>
      <c r="G29" s="0" t="inlineStr">
        <is>
          <t>修正</t>
        </is>
      </c>
      <c r="H29" s="0" t="inlineStr">
        <is>
          <t>カード名修正（チュリモフ→チュリュモフ）。印刷版の効果文が「企画フェイズで」なので回答の表現を調整</t>
        </is>
      </c>
    </row>
    <row r="30">
      <c r="A30" s="3" t="inlineStr">
        <is>
          <t>P076</t>
        </is>
      </c>
      <c r="B30" s="3" t="n"/>
      <c r="C30" s="13" t="inlineStr">
        <is>
          <t>「グラウンドリンク」の効果によって通信確立する際、通信確立コストを支払う必要はありますか。</t>
        </is>
      </c>
      <c r="D30" s="13" t="inlineStr">
        <is>
          <t>区域コストと先駆コスト（通常の通信確立コスト）は支払う必要があります。特殊コスト（5マヤ）は不要です。</t>
        </is>
      </c>
      <c r="E30" s="3" t="n">
        <v>3</v>
      </c>
      <c r="F30" s="0" t="inlineStr">
        <is>
          <t>企画・手札</t>
        </is>
      </c>
      <c r="G30" s="0" t="inlineStr">
        <is>
          <t>修正</t>
        </is>
      </c>
      <c r="H30" s="0" t="inlineStr">
        <is>
          <t>印刷版の効果文「通信確立コストを支払って、通信確立する」に合わせて修正（旧回答は「先駆コストのみ」）。確認済み</t>
        </is>
      </c>
    </row>
    <row r="31">
      <c r="A31" s="3" t="inlineStr">
        <is>
          <t>P077</t>
        </is>
      </c>
      <c r="B31" s="3" t="inlineStr">
        <is>
          <t>R009</t>
        </is>
      </c>
      <c r="C31" s="13" t="inlineStr">
        <is>
          <t>「オライオンリワード」の効果は企画アクションにおいて捨てたカードに対しても適用されますか。</t>
        </is>
      </c>
      <c r="D31" s="13" t="inlineStr">
        <is>
          <t>いいえ、適用されません。プロジェクトカードを捨てることでマヤと交換できるルールにおいてのみ適用されます。</t>
        </is>
      </c>
      <c r="E31" s="3" t="n">
        <v>3</v>
      </c>
      <c r="F31" s="0" t="inlineStr">
        <is>
          <t>企画・手札</t>
        </is>
      </c>
      <c r="G31" s="0" t="inlineStr">
        <is>
          <t>修正</t>
        </is>
      </c>
      <c r="H31" s="0" t="inlineStr">
        <is>
          <t>PHOBOS CONCORDEのカード番号はR009</t>
        </is>
      </c>
    </row>
    <row r="32">
      <c r="A32" s="3" t="inlineStr">
        <is>
          <t>P078</t>
        </is>
      </c>
      <c r="B32" s="3" t="inlineStr">
        <is>
          <t>P088,P089,P092</t>
        </is>
      </c>
      <c r="C32" s="13" t="inlineStr">
        <is>
          <t>「アポロダウン」の効果は、「アポロダウン」が配備されている衛星自身が着陸したときにも発動しますか。</t>
        </is>
      </c>
      <c r="D32" s="13" t="inlineStr">
        <is>
          <t>はい、発動します。循環フェイズ終了までは稼働中のみ発動する効果は発動します。</t>
        </is>
      </c>
      <c r="E32" s="3" t="n">
        <v>4</v>
      </c>
      <c r="F32" s="0" t="inlineStr">
        <is>
          <t>循環・燃料</t>
        </is>
      </c>
      <c r="G32" s="0" t="inlineStr">
        <is>
          <t>既存</t>
        </is>
      </c>
    </row>
    <row r="33">
      <c r="A33" s="3" t="inlineStr">
        <is>
          <t>P079</t>
        </is>
      </c>
      <c r="B33" s="3" t="inlineStr">
        <is>
          <t>P080</t>
        </is>
      </c>
      <c r="C33" s="13" t="inlineStr">
        <is>
          <t>「ゼログラビティα」が配備されている衛星が循環フェイズの「衛星コマの移動」で地域Aから地域Bに移動しました。このとき、「ゼログラビティα」の効果で燃料を消費せずに済みますか。</t>
        </is>
      </c>
      <c r="D33" s="13" t="inlineStr">
        <is>
          <t>いいえ、燃料を消費します。循環フェイズでは「衛星コマの移動」を行った後に「燃料の消費」が行われます。そのため、「燃料の消費」時点で直下にある区域の地域が参照されます。</t>
        </is>
      </c>
      <c r="E33" s="3" t="n">
        <v>3</v>
      </c>
      <c r="F33" s="0" t="inlineStr">
        <is>
          <t>循環・燃料</t>
        </is>
      </c>
      <c r="G33" s="0" t="inlineStr">
        <is>
          <t>既存</t>
        </is>
      </c>
    </row>
    <row r="34">
      <c r="A34" s="3" t="inlineStr">
        <is>
          <t>P081</t>
        </is>
      </c>
      <c r="B34" s="3" t="inlineStr">
        <is>
          <t>P082</t>
        </is>
      </c>
      <c r="C34" s="13" t="inlineStr">
        <is>
          <t>「ホーマンブースター」の効果で衛星を1区域進める前の区域に他の衛星が存在し、また進めた後の区域にも他の衛星が存在しました。この場合、ニアミスと判定されるのは進めた後の区域だけでしょうか。</t>
        </is>
      </c>
      <c r="D34" s="13" t="inlineStr">
        <is>
          <t>はい、進めた後の区域のみニアミスとみなされる可能性があります。「ホーマンブースター」で進める際にニアミス判定は行われず、循環フェイズの「ニアミス判定」の時点で衛星コマがある区域（進めた後の区域）で通常どおり判定されます。</t>
        </is>
      </c>
      <c r="F34" s="0" t="inlineStr">
        <is>
          <t>循環・燃料</t>
        </is>
      </c>
      <c r="G34" s="0" t="inlineStr">
        <is>
          <t>修正</t>
        </is>
      </c>
      <c r="H34" s="0" t="inlineStr">
        <is>
          <t>印刷版に「ニアミス判定は行われず」と明記されているため理由を補足</t>
        </is>
      </c>
    </row>
    <row r="35">
      <c r="A35" s="3" t="inlineStr">
        <is>
          <t>P085</t>
        </is>
      </c>
      <c r="C35" s="13" t="inlineStr">
        <is>
          <t>「ケスラー回避システム」の効果でニアミス時の燃料消費が1で済むとありますが、これは循環フェイズで消費する燃料が合計で1となるという意味でしょうか。</t>
        </is>
      </c>
      <c r="D35" s="13" t="inlineStr">
        <is>
          <t>いいえ、「ニアミス判定」においてニアミスしたときに消費される燃料が1であるという意味です。別途、「燃料の消費」によって区域移動した分の燃料は消費する必要があるため、ニアミスした際の循環フェイズで消費する燃料は合計で2となります。</t>
        </is>
      </c>
      <c r="F35" s="0" t="inlineStr">
        <is>
          <t>循環・燃料</t>
        </is>
      </c>
      <c r="G35" s="0" t="inlineStr">
        <is>
          <t>既存</t>
        </is>
      </c>
    </row>
    <row r="36">
      <c r="A36" s="3" t="inlineStr">
        <is>
          <t>A004</t>
        </is>
      </c>
      <c r="C36" s="13" t="inlineStr">
        <is>
          <t>通信確立のボーナスアクションの対象としてボード最上部の段で右上を向いた衛星を選択しました。この衛星の進行方向前方として、その衛星の右下の区域を通信確立できますか。</t>
        </is>
      </c>
      <c r="D36" s="13" t="inlineStr">
        <is>
          <t>いいえ、できません。循環フェイズでの「反射」を考慮して衛星コマ右下の区域を進行方向前方の隣接する区域と捉えることはできません。</t>
        </is>
      </c>
      <c r="E36" s="3" t="n">
        <v>5</v>
      </c>
      <c r="F36" s="0" t="inlineStr">
        <is>
          <t>通信確立</t>
        </is>
      </c>
      <c r="G36" s="0" t="inlineStr">
        <is>
          <t>既存</t>
        </is>
      </c>
    </row>
    <row r="37">
      <c r="C37" s="13" t="inlineStr">
        <is>
          <t>プロジェクトカードが1枚も配備されていない衛星を打ち上げることはできますか。</t>
        </is>
      </c>
      <c r="D37" s="13" t="inlineStr">
        <is>
          <t>いいえ、できません。衛星を打ち上げるには、非稼働であることと、プロジェクトカードが最低1枚配備されていることの2つの条件を満たす必要があります。</t>
        </is>
      </c>
      <c r="E37" s="0" t="n">
        <v>5</v>
      </c>
      <c r="F37" s="0" t="inlineStr">
        <is>
          <t>打ち上げ・転回</t>
        </is>
      </c>
      <c r="G37" s="0" t="inlineStr">
        <is>
          <t>追加</t>
        </is>
      </c>
      <c r="H37" s="0" t="inlineStr">
        <is>
          <t>ルールブックp.14</t>
        </is>
      </c>
    </row>
    <row r="38">
      <c r="C38" s="13" t="inlineStr">
        <is>
          <t>打ち上げたラウンドの循環フェイズで、打ち上げたばかりの衛星も移動しますか。</t>
        </is>
      </c>
      <c r="D38" s="13" t="inlineStr">
        <is>
          <t>はい、移動します。循環フェイズでは稼働中の全衛星が循環の対象となるため、そのラウンドに打ち上げた衛星も「衛星コマの移動」「燃料消費」「ニアミス判定」「着陸/着水判定」を行います。</t>
        </is>
      </c>
      <c r="E38" s="0" t="n">
        <v>5</v>
      </c>
      <c r="F38" s="0" t="inlineStr">
        <is>
          <t>循環・燃料</t>
        </is>
      </c>
      <c r="G38" s="0" t="inlineStr">
        <is>
          <t>追加</t>
        </is>
      </c>
      <c r="H38" s="0" t="inlineStr">
        <is>
          <t>ルールブックp.18</t>
        </is>
      </c>
    </row>
    <row r="39">
      <c r="C39" s="13" t="inlineStr">
        <is>
          <t>着陸/着水した衛星は、再び打ち上げることができますか。その際、配備されているプロジェクトカードや燃料はどうなりますか。</t>
        </is>
      </c>
      <c r="D39" s="13" t="inlineStr">
        <is>
          <t>はい、着陸/着水した衛星は非稼働となるため、再び打ち上げることができます。配備されているプロジェクトカードはそのまま残り、燃料コマは初期燃料庫に戻します（燃料は満タンの状態から再スタートします）。</t>
        </is>
      </c>
      <c r="E39" s="0" t="n">
        <v>5</v>
      </c>
      <c r="F39" s="0" t="inlineStr">
        <is>
          <t>打ち上げ・転回</t>
        </is>
      </c>
      <c r="G39" s="0" t="inlineStr">
        <is>
          <t>追加</t>
        </is>
      </c>
      <c r="H39" s="0" t="inlineStr">
        <is>
          <t>初期燃料庫＝非稼働中/発射時点の燃料コマ置き場（p.7）からの推定</t>
        </is>
      </c>
    </row>
    <row r="40">
      <c r="C40" s="13" t="inlineStr">
        <is>
          <t>転回アクションの際に、稼働中の衛星カード上に置いた非稼働の衛星コマはどうなりますか。</t>
        </is>
      </c>
      <c r="D40" s="13" t="inlineStr">
        <is>
          <t>転回の向きを示すために置いただけなので、転回の処理後に元の衛星カード上に戻します。その衛星コマが打ち上げられたことにはなりません。</t>
        </is>
      </c>
      <c r="E40" s="0" t="n">
        <v>3</v>
      </c>
      <c r="F40" s="0" t="inlineStr">
        <is>
          <t>打ち上げ・転回</t>
        </is>
      </c>
      <c r="G40" s="0" t="inlineStr">
        <is>
          <t>追加</t>
        </is>
      </c>
    </row>
    <row r="41">
      <c r="C41" s="13" t="inlineStr">
        <is>
          <t>陸区域に着陸した場合も10マヤを獲得できますか。</t>
        </is>
      </c>
      <c r="D41" s="13" t="inlineStr">
        <is>
          <t>いいえ、獲得できません。10マヤを獲得できるのは、着水した区域が海区域であった場合のみです。陸区域に着陸した場合は「ランディングダウン」などのカード効果でのみマヤを獲得できます。</t>
        </is>
      </c>
      <c r="E41" s="0" t="n">
        <v>4</v>
      </c>
      <c r="F41" s="0" t="inlineStr">
        <is>
          <t>循環・燃料</t>
        </is>
      </c>
      <c r="G41" s="0" t="inlineStr">
        <is>
          <t>追加</t>
        </is>
      </c>
      <c r="H41" s="0" t="inlineStr">
        <is>
          <t>ルールブックp.19</t>
        </is>
      </c>
    </row>
    <row r="42">
      <c r="C42" s="13" t="inlineStr">
        <is>
          <t>同じ区域を複数のプレイヤーが同じタイミングで通信確立した場合、お互いに先駆コストを支払いますか。</t>
        </is>
      </c>
      <c r="D42" s="13" t="inlineStr">
        <is>
          <t>いいえ、支払いません。同タイミングで通信確立したプレイヤー同士は先駆コストを支払う必要はなく、区域コストのみをサプライに支払います。キューブは重ねて置き、区域ボーナスはお互いに上位のボーナスを獲得します。ただし、メインアクションとアクション選択ボーナスのように異なるタイミングで通信確立した場合は先駆コストが必要です。</t>
        </is>
      </c>
      <c r="E42" s="0" t="n">
        <v>5</v>
      </c>
      <c r="F42" s="0" t="inlineStr">
        <is>
          <t>通信確立</t>
        </is>
      </c>
      <c r="G42" s="0" t="inlineStr">
        <is>
          <t>追加</t>
        </is>
      </c>
      <c r="H42" s="0" t="inlineStr">
        <is>
          <t>ルールブックp.5, p.17 例2・例4</t>
        </is>
      </c>
    </row>
    <row r="43">
      <c r="B43" s="0" t="inlineStr">
        <is>
          <t>P052,P053,P054,P062,P063,P064,P065</t>
        </is>
      </c>
      <c r="C43" s="13" t="inlineStr">
        <is>
          <t>「面舵アンテナ」などで通信確立対象区域が広がっている場合、1回の通信確立で複数の区域を通信確立できますか。</t>
        </is>
      </c>
      <c r="D43" s="13" t="inlineStr">
        <is>
          <t>いいえ、できません。通信確立対象区域が広がっても、1回の通信確立で通信確立できるのは対象区域のうち1区域のみです。</t>
        </is>
      </c>
      <c r="E43" s="0" t="n">
        <v>5</v>
      </c>
      <c r="F43" s="0" t="inlineStr">
        <is>
          <t>通信確立</t>
        </is>
      </c>
      <c r="G43" s="0" t="inlineStr">
        <is>
          <t>追加</t>
        </is>
      </c>
    </row>
    <row r="44">
      <c r="C44" s="13" t="inlineStr">
        <is>
          <t>他プレイヤーの発射拠点コマが置かれている区域を通信確立できますか。</t>
        </is>
      </c>
      <c r="D44" s="13" t="inlineStr">
        <is>
          <t>はい、できます。発射拠点コマはその持ち主にとっては通信確立済みの区域として扱われるため、通信確立する場合は持ち主に先駆コストを支払います。</t>
        </is>
      </c>
      <c r="E44" s="0" t="n">
        <v>4</v>
      </c>
      <c r="F44" s="0" t="inlineStr">
        <is>
          <t>通信確立</t>
        </is>
      </c>
      <c r="G44" s="0" t="inlineStr">
        <is>
          <t>追加</t>
        </is>
      </c>
      <c r="H44" s="0" t="inlineStr">
        <is>
          <t>先駆コストの扱いが未記載のため要確認</t>
        </is>
      </c>
    </row>
    <row r="45">
      <c r="C45" s="13" t="inlineStr">
        <is>
          <t>通信確立コストや配備コストは、カード効果による割引で0未満になりますか。</t>
        </is>
      </c>
      <c r="D45" s="13" t="inlineStr">
        <is>
          <t>いいえ、なりません。割引後のコストが0を下回る場合、コストは0となります。</t>
        </is>
      </c>
      <c r="E45" s="0" t="n">
        <v>4</v>
      </c>
      <c r="F45" s="0" t="inlineStr">
        <is>
          <t>配備</t>
        </is>
      </c>
      <c r="G45" s="0" t="inlineStr">
        <is>
          <t>追加</t>
        </is>
      </c>
      <c r="H45" s="0" t="inlineStr">
        <is>
          <t>通信確立コストは0未満にならないとルール明記(p.16)。配備・打ち上げコストは未記載</t>
        </is>
      </c>
    </row>
    <row r="46">
      <c r="C46" s="13" t="inlineStr">
        <is>
          <t>衛星に配備したプロジェクトカードを取り外したり、捨てたりすることはできますか。</t>
        </is>
      </c>
      <c r="D46" s="13" t="inlineStr">
        <is>
          <t>いいえ、できません。カード効果で付け替える場合（「ジャグラー」など）を除き、一度配備したプロジェクトカードはゲーム終了まで衛星に配備されたままです。</t>
        </is>
      </c>
      <c r="E46" s="0" t="n">
        <v>3</v>
      </c>
      <c r="F46" s="0" t="inlineStr">
        <is>
          <t>配備</t>
        </is>
      </c>
      <c r="G46" s="0" t="inlineStr">
        <is>
          <t>追加</t>
        </is>
      </c>
    </row>
    <row r="47">
      <c r="C47" s="13" t="inlineStr">
        <is>
          <t>プロジェクトカードを捨てて3マヤを獲得するのは、コストの支払い途中や他プレイヤーの処理中でも行えますか。</t>
        </is>
      </c>
      <c r="D47" s="13" t="inlineStr">
        <is>
          <t>はい、行えます。プロジェクトカードはいつでも1枚捨てて3マヤを獲得できるため、コストの支払いが足りないときなどに随時変換できます。</t>
        </is>
      </c>
      <c r="E47" s="0" t="n">
        <v>4</v>
      </c>
      <c r="F47" s="0" t="inlineStr">
        <is>
          <t>企画・手札</t>
        </is>
      </c>
      <c r="G47" s="0" t="inlineStr">
        <is>
          <t>追加</t>
        </is>
      </c>
      <c r="H47" s="0" t="inlineStr">
        <is>
          <t>ルールブックp.6, p.20</t>
        </is>
      </c>
    </row>
    <row r="48">
      <c r="C48" s="13" t="inlineStr">
        <is>
          <t>「I 予算発行」以外のアクションカードを連続したラウンドで選ぶことはできますか。</t>
        </is>
      </c>
      <c r="D48" s="13" t="inlineStr">
        <is>
          <t>いいえ、できません。計画フェイズの「アクションカードの回収」で手札に戻るのは、横向きのアクションカード（2ラウンド前に選択したもの）と、縦向きの「I 予算発行」のみです。そのため、「I 予算発行」以外のアクションは連続したラウンドで選べません（「航空技師」「航空指揮官」の効果を除く）。</t>
        </is>
      </c>
      <c r="E48" s="0" t="n">
        <v>4</v>
      </c>
      <c r="F48" s="0" t="inlineStr">
        <is>
          <t>アクション選択</t>
        </is>
      </c>
      <c r="G48" s="0" t="inlineStr">
        <is>
          <t>追加</t>
        </is>
      </c>
      <c r="H48" s="0" t="inlineStr">
        <is>
          <t>ルールブックp.12</t>
        </is>
      </c>
    </row>
    <row r="49">
      <c r="C49" s="13" t="inlineStr">
        <is>
          <t>自分が選択していないアクションのフェイズも実行できますか。</t>
        </is>
      </c>
      <c r="D49" s="13" t="inlineStr">
        <is>
          <t>はい、できます。いずれかのプレイヤーが選択したアクションのフェイズは全員が実行できます。ただし、アクション選択ボーナスを得られるのはそのアクションを選択したプレイヤーのみです。</t>
        </is>
      </c>
      <c r="E49" s="0" t="n">
        <v>4</v>
      </c>
      <c r="F49" s="0" t="inlineStr">
        <is>
          <t>アクション選択</t>
        </is>
      </c>
      <c r="G49" s="0" t="inlineStr">
        <is>
          <t>追加</t>
        </is>
      </c>
      <c r="H49" s="0" t="inlineStr">
        <is>
          <t>ルールブックp.5, p.12</t>
        </is>
      </c>
    </row>
    <row r="50">
      <c r="C50" s="13" t="inlineStr">
        <is>
          <t>循環フェイズで衛星が着陸し、稼働中の衛星が4機以下に戻った場合でも、ゲーム終了条件を満たしたことになりますか。</t>
        </is>
      </c>
      <c r="D50" s="13" t="inlineStr">
        <is>
          <t>いいえ、なりません。ゲーム終了条件はラウンド終了時（循環フェイズ終了時）に判定します。その時点で5機とも稼働中でなければ、終了条件「衛星が5機とも稼働中」は満たしていません。</t>
        </is>
      </c>
      <c r="E50" s="0" t="n">
        <v>3</v>
      </c>
      <c r="F50" s="0" t="inlineStr">
        <is>
          <t>得点・ゲーム終了</t>
        </is>
      </c>
      <c r="G50" s="0" t="inlineStr">
        <is>
          <t>追加</t>
        </is>
      </c>
      <c r="H50" s="0" t="inlineStr">
        <is>
          <t>ルールブックp.18, p.20</t>
        </is>
      </c>
    </row>
    <row r="51">
      <c r="C51" s="13" t="inlineStr">
        <is>
          <t>ミッションカードの達成に、自分の発射拠点コマがある区域を含めることはできますか。</t>
        </is>
      </c>
      <c r="D51" s="13" t="inlineStr">
        <is>
          <t>はい、含められます。ミッションカードは、条件通りにキューブ/発射拠点をゲームボード上に配置できていれば達成とみなされます。ただし、複数のミッションカードで同じキューブ/発射拠点を達成対象として使うことはできません。</t>
        </is>
      </c>
      <c r="E51" s="0" t="n">
        <v>3</v>
      </c>
      <c r="F51" s="0" t="inlineStr">
        <is>
          <t>得点・ゲーム終了</t>
        </is>
      </c>
      <c r="G51" s="0" t="inlineStr">
        <is>
          <t>追加</t>
        </is>
      </c>
      <c r="H51" s="0" t="inlineStr">
        <is>
          <t>ルールブックp.8</t>
        </is>
      </c>
    </row>
    <row r="52">
      <c r="A52" s="0" t="inlineStr">
        <is>
          <t>P027</t>
        </is>
      </c>
      <c r="B52" s="0" t="inlineStr">
        <is>
          <t>P013,P028,P029,P030,P031,P032,P023,P025</t>
        </is>
      </c>
      <c r="C52" s="13" t="inlineStr">
        <is>
          <t>配備フェイズでメインアクションとアクション選択ボーナスでCREWのカードを2枚配備しました。「人事プランナー」の効果でプロジェクトカードを2枚引けますか。</t>
        </is>
      </c>
      <c r="D52" s="13" t="inlineStr">
        <is>
          <t>いいえ、1枚のみです。効果タイプが「起動」のカードは、条件を満たした場合でも各ラウンド中に1回までしか効果を発動できません。</t>
        </is>
      </c>
      <c r="E52" s="0" t="n">
        <v>5</v>
      </c>
      <c r="F52" s="0" t="inlineStr">
        <is>
          <t>配備</t>
        </is>
      </c>
      <c r="G52" s="0" t="inlineStr">
        <is>
          <t>追加</t>
        </is>
      </c>
      <c r="H52" s="0" t="inlineStr">
        <is>
          <t>ルールブックp.6（起動は各ラウンド1回まで）</t>
        </is>
      </c>
    </row>
    <row r="53">
      <c r="A53" s="0" t="inlineStr">
        <is>
          <t>P019</t>
        </is>
      </c>
      <c r="B53" s="0" t="inlineStr">
        <is>
          <t>P020,P021</t>
        </is>
      </c>
      <c r="C53" s="13" t="inlineStr">
        <is>
          <t>「フリート指揮官」の効果でCREWの配備コスト-2を、同じラウンド中に複数回適用できますか。</t>
        </is>
      </c>
      <c r="D53" s="13" t="inlineStr">
        <is>
          <t>いいえ、1回のみです。「フリート指揮官」の効果タイプは「起動」であるため、各ラウンド中に1回までしか適用できません。毎回適用したい場合は「スクワドロン補佐官」など効果タイプが「常時」のカードを活用してください。</t>
        </is>
      </c>
      <c r="E53" s="0" t="n">
        <v>4</v>
      </c>
      <c r="F53" s="0" t="inlineStr">
        <is>
          <t>配備</t>
        </is>
      </c>
      <c r="G53" s="0" t="inlineStr">
        <is>
          <t>追加</t>
        </is>
      </c>
      <c r="H53" s="0" t="inlineStr">
        <is>
          <t>印刷版でP019〜P021は起動アイコン</t>
        </is>
      </c>
    </row>
    <row r="54">
      <c r="A54" s="0" t="inlineStr">
        <is>
          <t>P046</t>
        </is>
      </c>
      <c r="B54" s="0" t="inlineStr">
        <is>
          <t>P037,P043,P044,P045,P047</t>
        </is>
      </c>
      <c r="C54" s="13" t="inlineStr">
        <is>
          <t>「固定軌道装置」が配備された衛星がゲームボードの上下端に到達した場合、反射しますか。また、反射したときに「転回したとき」の効果は発動しますか。</t>
        </is>
      </c>
      <c r="D54" s="13" t="inlineStr">
        <is>
          <t>反射はします。「反射」は「転回」とは別物であるため、「固定軌道装置」が配備されていても反射し、また反射によって「転回したとき」を起動条件とする効果は発動しません。</t>
        </is>
      </c>
      <c r="E54" s="0" t="n">
        <v>4</v>
      </c>
      <c r="F54" s="0" t="inlineStr">
        <is>
          <t>打ち上げ・転回</t>
        </is>
      </c>
      <c r="G54" s="0" t="inlineStr">
        <is>
          <t>追加</t>
        </is>
      </c>
      <c r="H54" s="0" t="inlineStr">
        <is>
          <t>ルールブックp.18</t>
        </is>
      </c>
    </row>
    <row r="55">
      <c r="A55" s="0" t="inlineStr">
        <is>
          <t>P033</t>
        </is>
      </c>
      <c r="B55" s="0" t="inlineStr">
        <is>
          <t>P045,P074,P011,P022</t>
        </is>
      </c>
      <c r="C55" s="13" t="inlineStr">
        <is>
          <t>「第七王子」を配備した衛星に、「軌道整備ドッグ」などのカード効果でプロジェクトカードを配備することはできますか。</t>
        </is>
      </c>
      <c r="D55" s="13" t="inlineStr">
        <is>
          <t>いいえ、できません。「第七王子」が配備された衛星には、アクション・カード効果のいずれによってもプロジェクトカードを配備できません。</t>
        </is>
      </c>
      <c r="E55" s="0" t="n">
        <v>3</v>
      </c>
      <c r="F55" s="0" t="inlineStr">
        <is>
          <t>配備</t>
        </is>
      </c>
      <c r="G55" s="0" t="inlineStr">
        <is>
          <t>追加</t>
        </is>
      </c>
      <c r="H55" s="0" t="inlineStr">
        <is>
          <t>ジャグラーでの付け替え先にもできない想定</t>
        </is>
      </c>
    </row>
    <row r="56">
      <c r="A56" s="0" t="inlineStr">
        <is>
          <t>P066</t>
        </is>
      </c>
      <c r="B56" s="0" t="inlineStr">
        <is>
          <t>P050,P051,P058,P059</t>
        </is>
      </c>
      <c r="C56" s="13" t="inlineStr">
        <is>
          <t>「電波遮断装置」が配備された衛星を、「欧阿中継ネットワーク」などの効果で通信確立させる対象に選べますか。</t>
        </is>
      </c>
      <c r="D56" s="13" t="inlineStr">
        <is>
          <t>いいえ、選べません。「電波遮断装置」が配備された衛星は、カード効果によるものも含めて通信確立できません。</t>
        </is>
      </c>
      <c r="E56" s="0" t="n">
        <v>3</v>
      </c>
      <c r="F56" s="0" t="inlineStr">
        <is>
          <t>通信確立</t>
        </is>
      </c>
      <c r="G56" s="0" t="inlineStr">
        <is>
          <t>追加</t>
        </is>
      </c>
    </row>
    <row r="57">
      <c r="A57" s="0" t="inlineStr">
        <is>
          <t>P055</t>
        </is>
      </c>
      <c r="C57" s="13" t="inlineStr">
        <is>
          <t>「ステルス艦」の効果で通信確立する場合、区域コストも不要になりますか。</t>
        </is>
      </c>
      <c r="D57" s="13" t="inlineStr">
        <is>
          <t>いいえ、区域コストは必要です。「ステルス艦」で不要になるのは他プレイヤーへの先駆コストのみです。</t>
        </is>
      </c>
      <c r="E57" s="0" t="n">
        <v>3</v>
      </c>
      <c r="F57" s="0" t="inlineStr">
        <is>
          <t>通信確立</t>
        </is>
      </c>
      <c r="G57" s="0" t="inlineStr">
        <is>
          <t>追加</t>
        </is>
      </c>
    </row>
    <row r="58">
      <c r="A58" s="0" t="inlineStr">
        <is>
          <t>P094</t>
        </is>
      </c>
      <c r="B58" s="0" t="inlineStr">
        <is>
          <t>P085</t>
        </is>
      </c>
      <c r="C58" s="13" t="inlineStr">
        <is>
          <t>「デコンフリクト」が配備された衛星を含め、同じ区域に3機の衛星がいる場合、ニアミスはどうなりますか。</t>
        </is>
      </c>
      <c r="D58" s="13" t="inlineStr">
        <is>
          <t>「デコンフリクト」が配備された衛星はニアミスしません。残りの2機はその区域に「他の衛星が2機」いるため、通常どおりニアミスしたとみなされます。同じ区域にいる他の衛星が1機だけの場合は、その衛星もニアミスしたとみなされません。</t>
        </is>
      </c>
      <c r="E58" s="0" t="n">
        <v>3</v>
      </c>
      <c r="F58" s="0" t="inlineStr">
        <is>
          <t>循環・燃料</t>
        </is>
      </c>
      <c r="G58" s="0" t="inlineStr">
        <is>
          <t>追加</t>
        </is>
      </c>
    </row>
    <row r="59">
      <c r="A59" s="0" t="inlineStr">
        <is>
          <t>P034</t>
        </is>
      </c>
      <c r="B59" s="0" t="inlineStr">
        <is>
          <t>P081,P091,P082</t>
        </is>
      </c>
      <c r="C59" s="13" t="inlineStr">
        <is>
          <t>「加速ブースター」の効果で区域を進めた結果、燃料コマが燃料庫からはみ出しました。この衛星はその時点で着陸/着水しますか。</t>
        </is>
      </c>
      <c r="D59" s="13" t="inlineStr">
        <is>
          <t>いいえ、その時点では着陸/着水しません。効果文にある「着陸/着水判定は行われる」とは、通常どおり循環フェイズの「着陸/着水判定」で判定されるという意味です。</t>
        </is>
      </c>
      <c r="E59" s="0" t="n">
        <v>4</v>
      </c>
      <c r="F59" s="0" t="inlineStr">
        <is>
          <t>打ち上げ・転回</t>
        </is>
      </c>
      <c r="G59" s="0" t="inlineStr">
        <is>
          <t>追加</t>
        </is>
      </c>
      <c r="H59" s="0" t="inlineStr">
        <is>
          <t>効果文の「着陸/着水判定は行われる」がいつ判定されるか不明確なため要確認</t>
        </is>
      </c>
    </row>
    <row r="60">
      <c r="A60" s="0" t="inlineStr">
        <is>
          <t>P077</t>
        </is>
      </c>
      <c r="B60" s="0" t="inlineStr">
        <is>
          <t>R009</t>
        </is>
      </c>
      <c r="C60" s="13" t="inlineStr">
        <is>
          <t>「オライオンリワード」と衛星「CONCORDE（PHOBOS）」の効果を両方持っている場合、プロジェクトカードを1枚捨てると何マヤ獲得できますか。</t>
        </is>
      </c>
      <c r="D60" s="13" t="inlineStr">
        <is>
          <t>7マヤ獲得できます（基本の3マヤ＋「オライオンリワード」の2マヤ＋「CONCORDE（PHOBOS）」の2マヤ）。</t>
        </is>
      </c>
      <c r="E60" s="0" t="n">
        <v>2</v>
      </c>
      <c r="F60" s="0" t="inlineStr">
        <is>
          <t>企画・手札</t>
        </is>
      </c>
      <c r="G60" s="0" t="inlineStr">
        <is>
          <t>追加</t>
        </is>
      </c>
    </row>
    <row r="61">
      <c r="A61" s="0" t="inlineStr">
        <is>
          <t>R011</t>
        </is>
      </c>
      <c r="B61" s="0" t="inlineStr">
        <is>
          <t>P071,P072,P073</t>
        </is>
      </c>
      <c r="C61" s="13" t="inlineStr">
        <is>
          <t>衛星「HAMMER（DEIMOS）」と「チャンドラセカール」の効果を両方持っている場合、企画のアクション選択ボーナスは何枚引いて何枚残せますか。</t>
        </is>
      </c>
      <c r="D61" s="13" t="inlineStr">
        <is>
          <t>7枚引いて4枚を手札に残せます。「HAMMER（DEIMOS）」の効果でボーナスが「6枚引いて3枚を手札に残す」になり、そこに「チャンドラセカール」の効果で引く枚数・残す枚数がそれぞれ1枚増えます。</t>
        </is>
      </c>
      <c r="E61" s="0" t="n">
        <v>2</v>
      </c>
      <c r="F61" s="0" t="inlineStr">
        <is>
          <t>企画・手札</t>
        </is>
      </c>
      <c r="G61" s="0" t="inlineStr">
        <is>
          <t>追加</t>
        </is>
      </c>
    </row>
    <row r="62">
      <c r="A62" s="0" t="inlineStr">
        <is>
          <t>R016</t>
        </is>
      </c>
      <c r="B62" s="0" t="inlineStr">
        <is>
          <t>R017,R018,R019,R020</t>
        </is>
      </c>
      <c r="C62" s="13" t="inlineStr">
        <is>
          <t>EUROPAプランの衛星の効果で、誰も選択していないアクションのアクション選択ボーナスを得られますか。</t>
        </is>
      </c>
      <c r="D62" s="13" t="inlineStr">
        <is>
          <t>いいえ、得られません。誰も選択していないアクションのフェイズはそのラウンドに実行されないため、そのフェイズのアクション選択ボーナスも得られません。</t>
        </is>
      </c>
      <c r="E62" s="0" t="n">
        <v>3</v>
      </c>
      <c r="F62" s="0" t="inlineStr">
        <is>
          <t>アクション選択</t>
        </is>
      </c>
      <c r="G62" s="0" t="inlineStr">
        <is>
          <t>追加</t>
        </is>
      </c>
    </row>
    <row r="63">
      <c r="A63" s="0" t="inlineStr">
        <is>
          <t>P098</t>
        </is>
      </c>
      <c r="B63" s="0" t="inlineStr">
        <is>
          <t>P081,P086,P093,P095</t>
        </is>
      </c>
      <c r="C63" s="13" t="inlineStr">
        <is>
          <t>「バックリンク」の効果発動タイミングのアイコンが企画フェイズになっていますが、どのタイミングで発動しますか。</t>
        </is>
      </c>
      <c r="D63" s="13" t="inlineStr">
        <is>
          <t>循環フェイズで、この衛星が自分の通信確立済み区域の上空に突入したときに発動します。効果発動タイミングのアイコンは誤りです（正しくは循環フェイズ中）。</t>
        </is>
      </c>
      <c r="E63" s="0" t="n">
        <v>3</v>
      </c>
      <c r="F63" s="0" t="inlineStr">
        <is>
          <t>循環・燃料</t>
        </is>
      </c>
      <c r="G63" s="0" t="inlineStr">
        <is>
          <t>エラッタ</t>
        </is>
      </c>
      <c r="H63" s="0" t="inlineStr">
        <is>
          <t>エラッタページ（errata.html）に記載。FAQには出力しない</t>
        </is>
      </c>
    </row>
    <row r="64">
      <c r="B64" s="0" t="inlineStr">
        <is>
          <t>R001B,R006,R011,R016,R021</t>
        </is>
      </c>
      <c r="C64" s="13" t="inlineStr">
        <is>
          <t>「MOON」プランと色ごとのプラン（PHOBOS / DEIMOS / EUROPA / GANYMEDE）を、1人のプレイヤーの中で混在させて使えますか。</t>
        </is>
      </c>
      <c r="D64" s="13" t="inlineStr">
        <is>
          <t>いいえ、混在はできません。1人のプレイヤーが使う5枚の衛星カードは、すべて「MOON」面か、すべて色ごとのプラン面のどちらかに揃えます。</t>
        </is>
      </c>
      <c r="E64" s="0" t="n">
        <v>3</v>
      </c>
      <c r="F64" s="0" t="inlineStr">
        <is>
          <t>衛星</t>
        </is>
      </c>
      <c r="G64" s="0" t="inlineStr">
        <is>
          <t>追加</t>
        </is>
      </c>
    </row>
    <row r="65">
      <c r="A65" s="0" t="inlineStr">
        <is>
          <t>R001B</t>
        </is>
      </c>
      <c r="B65" s="0" t="inlineStr">
        <is>
          <t>R006,R016</t>
        </is>
      </c>
      <c r="C65" s="13" t="inlineStr">
        <is>
          <t>ゲーム終了時、非稼働の衛星カードに記載された名声は獲得できますか。</t>
        </is>
      </c>
      <c r="D65" s="13" t="inlineStr">
        <is>
          <t>いいえ、獲得できません。衛星カードの名声は、ゲーム終了時にその衛星が稼働中である場合のみ獲得できます。なお、非稼働の衛星に配備されたプロジェクトカードの名声は、合計の半分（小数点切り捨て）を獲得できます。</t>
        </is>
      </c>
      <c r="E65" s="0" t="n">
        <v>5</v>
      </c>
      <c r="F65" s="0" t="inlineStr">
        <is>
          <t>衛星</t>
        </is>
      </c>
      <c r="G65" s="0" t="inlineStr">
        <is>
          <t>追加</t>
        </is>
      </c>
      <c r="H65" s="0" t="inlineStr">
        <is>
          <t>ルールブックp.7, p.21</t>
        </is>
      </c>
    </row>
    <row r="66">
      <c r="A66" s="0" t="inlineStr">
        <is>
          <t>R006</t>
        </is>
      </c>
      <c r="B66" s="0" t="inlineStr">
        <is>
          <t>R007,R008,R009,R010</t>
        </is>
      </c>
      <c r="C66" s="13" t="inlineStr">
        <is>
          <t>衛星カードの効果（◉マーク付き）は、その衛星が非稼働のときにも発動しますか。</t>
        </is>
      </c>
      <c r="D66" s="13" t="inlineStr">
        <is>
          <t>いいえ、発動しません。◉マークがある効果は、その衛星が稼働中である場合のみ発動します。色ごとのプランの衛星カードの効果はすべて◉マーク付きのため、その衛星を打ち上げた後から効果を発揮します。</t>
        </is>
      </c>
      <c r="E66" s="0" t="n">
        <v>5</v>
      </c>
      <c r="F66" s="0" t="inlineStr">
        <is>
          <t>衛星</t>
        </is>
      </c>
      <c r="G66" s="0" t="inlineStr">
        <is>
          <t>追加</t>
        </is>
      </c>
      <c r="H66" s="0" t="inlineStr">
        <is>
          <t>ルールブックp.7</t>
        </is>
      </c>
    </row>
    <row r="67">
      <c r="A67" s="0" t="inlineStr">
        <is>
          <t>R006</t>
        </is>
      </c>
      <c r="C67" s="13" t="inlineStr">
        <is>
          <t>「HAMMER（PHOBOS）」の効果「自分の全ての衛星の打ち上げコスト-3」は、HAMMER自身を打ち上げるときにも適用されますか。</t>
        </is>
      </c>
      <c r="D67" s="13" t="inlineStr">
        <is>
          <t>いいえ、適用されません。この効果は稼働中のみ発動するため、HAMMERが非稼働である打ち上げ時点では適用されません。HAMMERを打ち上げた後、他の衛星を打ち上げる際に適用されます。</t>
        </is>
      </c>
      <c r="E67" s="0" t="n">
        <v>4</v>
      </c>
      <c r="F67" s="0" t="inlineStr">
        <is>
          <t>衛星</t>
        </is>
      </c>
      <c r="G67" s="0" t="inlineStr">
        <is>
          <t>追加</t>
        </is>
      </c>
    </row>
    <row r="68">
      <c r="A68" s="0" t="inlineStr">
        <is>
          <t>R002B</t>
        </is>
      </c>
      <c r="B68" s="0" t="inlineStr">
        <is>
          <t>R001B,R003B,R004B,R005B</t>
        </is>
      </c>
      <c r="C68" s="13" t="inlineStr">
        <is>
          <t>着陸/着水した後に再び打ち上げた場合、MOONプランの衛星の「打ち上げ時」効果はもう一度発動しますか。</t>
        </is>
      </c>
      <c r="D68" s="13" t="inlineStr">
        <is>
          <t>はい、発動します。「打ち上げ時」の効果は、その衛星が打ち上げられるたびに発動します。</t>
        </is>
      </c>
      <c r="E68" s="0" t="n">
        <v>4</v>
      </c>
      <c r="F68" s="0" t="inlineStr">
        <is>
          <t>衛星</t>
        </is>
      </c>
      <c r="G68" s="0" t="inlineStr">
        <is>
          <t>追加</t>
        </is>
      </c>
    </row>
    <row r="69">
      <c r="A69" s="0" t="inlineStr">
        <is>
          <t>R005B</t>
        </is>
      </c>
      <c r="B69" s="0" t="inlineStr">
        <is>
          <t>P035</t>
        </is>
      </c>
      <c r="C69" s="13" t="inlineStr">
        <is>
          <t>「STEALTH（MOON）」の効果で打ち上げ時にプロジェクトカードを配備する場合、稼働中の衛星への追加配備コスト（+5マヤ）は必要ですか。また、配備したカードの効果はどうなりますか。</t>
        </is>
      </c>
      <c r="D69" s="13" t="inlineStr">
        <is>
          <t>追加配備コスト（+5マヤ）は不要です。各カードの配備コストのみを支払い、手札から最大2枚まで配備できます。配備したカードの「配備時」「打ち上げ時」の効果は発動します。</t>
        </is>
      </c>
      <c r="E69" s="0" t="n">
        <v>3</v>
      </c>
      <c r="F69" s="0" t="inlineStr">
        <is>
          <t>衛星</t>
        </is>
      </c>
      <c r="G69" s="0" t="inlineStr">
        <is>
          <t>追加</t>
        </is>
      </c>
      <c r="H69" s="0" t="inlineStr">
        <is>
          <t>印刷版の効果文は「2枚まで選んで…配備したカードの配備時・打ち上げ時効果は発動する」（cards/ の画像は旧版で「1枚」）</t>
        </is>
      </c>
    </row>
    <row r="70">
      <c r="A70" s="0" t="inlineStr">
        <is>
          <t>R009</t>
        </is>
      </c>
      <c r="B70" s="0" t="inlineStr">
        <is>
          <t>P077</t>
        </is>
      </c>
      <c r="C70" s="13" t="inlineStr">
        <is>
          <t>「CONCORDE（PHOBOS）」の「プロジェクトカードを捨てたときに得られるマヤ+2」は、企画フェイズでカードを捨てたときにも適用されますか。</t>
        </is>
      </c>
      <c r="D70" s="13" t="inlineStr">
        <is>
          <t>いいえ、適用されません。プロジェクトカードを1枚捨てて3マヤを獲得するルールでカードを捨てた場合にのみ適用されます（「オライオンリワード」と同様です）。</t>
        </is>
      </c>
      <c r="E70" s="0" t="n">
        <v>4</v>
      </c>
      <c r="F70" s="0" t="inlineStr">
        <is>
          <t>衛星</t>
        </is>
      </c>
      <c r="G70" s="0" t="inlineStr">
        <is>
          <t>追加</t>
        </is>
      </c>
      <c r="H70" s="0" t="inlineStr">
        <is>
          <t>既存FAQ（オライオンリワード）と同じ扱い</t>
        </is>
      </c>
    </row>
    <row r="71">
      <c r="A71" s="0" t="inlineStr">
        <is>
          <t>R011</t>
        </is>
      </c>
      <c r="B71" s="0" t="inlineStr">
        <is>
          <t>P071,P072,P073</t>
        </is>
      </c>
      <c r="C71" s="13" t="inlineStr">
        <is>
          <t>「HAMMER（DEIMOS）」の効果は、自分が企画アクションを選択していない場合でも適用されますか。</t>
        </is>
      </c>
      <c r="D71" s="13" t="inlineStr">
        <is>
          <t>いいえ、適用されません。この効果は企画のアクション選択ボーナスを変更するものなので、自分が企画アクションを選択してボーナスを得る場合にのみ適用されます。</t>
        </is>
      </c>
      <c r="E71" s="0" t="n">
        <v>4</v>
      </c>
      <c r="F71" s="0" t="inlineStr">
        <is>
          <t>衛星</t>
        </is>
      </c>
      <c r="G71" s="0" t="inlineStr">
        <is>
          <t>追加</t>
        </is>
      </c>
    </row>
    <row r="72">
      <c r="A72" s="0" t="inlineStr">
        <is>
          <t>R014</t>
        </is>
      </c>
      <c r="B72" s="0" t="inlineStr">
        <is>
          <t>A004</t>
        </is>
      </c>
      <c r="C72" s="13" t="inlineStr">
        <is>
          <t>「CONCORDE（DEIMOS）」の効果で通信確立できる区域はどこですか。</t>
        </is>
      </c>
      <c r="D72" s="13" t="inlineStr">
        <is>
          <t>その衛星の直下の区域に加え、直下の区域に隣接する6区域すべてが対象になります。通常の通信確立のアクション選択ボーナスでは直下と進行方向前後の区域のみですが、この効果で左右や斜めの区域も選べるようになります。</t>
        </is>
      </c>
      <c r="E72" s="0" t="n">
        <v>3</v>
      </c>
      <c r="F72" s="0" t="inlineStr">
        <is>
          <t>衛星</t>
        </is>
      </c>
      <c r="G72" s="0" t="inlineStr">
        <is>
          <t>追加</t>
        </is>
      </c>
    </row>
    <row r="73">
      <c r="A73" s="0" t="inlineStr">
        <is>
          <t>R021</t>
        </is>
      </c>
      <c r="B73" s="0" t="inlineStr">
        <is>
          <t>R022,R023,R024,R025</t>
        </is>
      </c>
      <c r="C73" s="13" t="inlineStr">
        <is>
          <t>「HAMMER（GANYMEDE）」の「この衛星が地域A,C,E,Gの通信確立する際」とは、衛星がいる地域と通信確立する区域の地域のどちらを指しますか。</t>
        </is>
      </c>
      <c r="D73" s="13" t="inlineStr">
        <is>
          <t>通信確立する区域の地域を指します。衛星が別の地域にいても、通信確立対象の区域が地域A,C,E,G内であれば通信確立コストが2減ります。</t>
        </is>
      </c>
      <c r="E73" s="0" t="n">
        <v>4</v>
      </c>
      <c r="F73" s="0" t="inlineStr">
        <is>
          <t>衛星</t>
        </is>
      </c>
      <c r="G73" s="0" t="inlineStr">
        <is>
          <t>追加</t>
        </is>
      </c>
      <c r="H73" s="0" t="inlineStr">
        <is>
          <t>P050の確認済み解釈に合わせた</t>
        </is>
      </c>
    </row>
    <row r="74">
      <c r="A74" s="0" t="inlineStr">
        <is>
          <t>R025</t>
        </is>
      </c>
      <c r="B74" s="0" t="inlineStr">
        <is>
          <t>R008,R021,R022,R023,R024</t>
        </is>
      </c>
      <c r="C74" s="13" t="inlineStr">
        <is>
          <t>GANYMEDEプランの衛星の通信確立コスト削減は、特殊通信確立コストにも適用されますか。</t>
        </is>
      </c>
      <c r="D74" s="13" t="inlineStr">
        <is>
          <t>はい、適用されます。特殊通信確立コストは「特殊コスト（5マヤ）＋通信確立コスト」なので、通信確立コストの部分が減ります。ただし、通信確立コストは0未満にはなりません。</t>
        </is>
      </c>
      <c r="E74" s="0" t="n">
        <v>3</v>
      </c>
      <c r="F74" s="0" t="inlineStr">
        <is>
          <t>衛星</t>
        </is>
      </c>
      <c r="G74" s="0" t="inlineStr">
        <is>
          <t>追加</t>
        </is>
      </c>
    </row>
    <row r="75">
      <c r="A75" s="0" t="inlineStr">
        <is>
          <t>T001</t>
        </is>
      </c>
      <c r="B75" s="0" t="inlineStr">
        <is>
          <t>T002,T009,T010,T011</t>
        </is>
      </c>
      <c r="C75" s="13" t="inlineStr">
        <is>
          <t>褒賞カードはゲームで何枚使いますか。カード左下の★マークや工具マークは何を表していますか。</t>
        </is>
      </c>
      <c r="D75" s="13" t="inlineStr">
        <is>
          <t>褒賞カードは、ゲーム開始時に全体で2枚選んで使います。★と★★のマークは、初めてのゲームでそれぞれ1枚ずつ使うことを推奨するカードです。工具のマークが付いたカードは、地域ボード裏面を使うゲームでのみ使用します。</t>
        </is>
      </c>
      <c r="E75" s="0" t="n">
        <v>5</v>
      </c>
      <c r="F75" s="0" t="inlineStr">
        <is>
          <t>褒賞カード</t>
        </is>
      </c>
      <c r="G75" s="0" t="inlineStr">
        <is>
          <t>追加</t>
        </is>
      </c>
      <c r="H75" s="0" t="inlineStr">
        <is>
          <t>ルールブックp.9</t>
        </is>
      </c>
    </row>
    <row r="76">
      <c r="A76" s="0" t="inlineStr">
        <is>
          <t>T001</t>
        </is>
      </c>
      <c r="C76" s="13" t="inlineStr">
        <is>
          <t>褒賞カードで同じ順位のプレイヤーが複数いる場合、名声はどうなりますか。</t>
        </is>
      </c>
      <c r="D76" s="13" t="inlineStr">
        <is>
          <t>同順位のプレイヤーの人数分の順位の名声を合計し、その人数で割った値（小数点切り捨て）をそれぞれ獲得します。例えば2人が2位で並んだ場合、2位と3位の名声を合計して2で割り、(12+6)/2=9をそれぞれ獲得します。</t>
        </is>
      </c>
      <c r="E76" s="0" t="n">
        <v>5</v>
      </c>
      <c r="F76" s="0" t="inlineStr">
        <is>
          <t>褒賞カード</t>
        </is>
      </c>
      <c r="G76" s="0" t="inlineStr">
        <is>
          <t>追加</t>
        </is>
      </c>
      <c r="H76" s="0" t="inlineStr">
        <is>
          <t>ルールブックp.9</t>
        </is>
      </c>
    </row>
    <row r="77">
      <c r="A77" s="0" t="inlineStr">
        <is>
          <t>T001</t>
        </is>
      </c>
      <c r="C77" s="13" t="inlineStr">
        <is>
          <t>褒賞カードの比較内容が0のプレイヤーも名声を獲得できますか。</t>
        </is>
      </c>
      <c r="D77" s="13" t="inlineStr">
        <is>
          <t>いいえ、獲得できません。比較内容が0のプレイヤーは、順位に関わらず名声を獲得できません。</t>
        </is>
      </c>
      <c r="E77" s="0" t="n">
        <v>4</v>
      </c>
      <c r="F77" s="0" t="inlineStr">
        <is>
          <t>褒賞カード</t>
        </is>
      </c>
      <c r="G77" s="0" t="inlineStr">
        <is>
          <t>追加</t>
        </is>
      </c>
      <c r="H77" s="0" t="inlineStr">
        <is>
          <t>ルールブックp.9 例2</t>
        </is>
      </c>
    </row>
    <row r="78">
      <c r="A78" s="0" t="inlineStr">
        <is>
          <t>T001</t>
        </is>
      </c>
      <c r="C78" s="13" t="inlineStr">
        <is>
          <t>2〜3人プレイのとき、最下位のプレイヤーが獲得できる褒賞の名声はいくつですか。</t>
        </is>
      </c>
      <c r="D78" s="13" t="inlineStr">
        <is>
          <t>順位どおりに獲得します。3人プレイでは3位が6、2人プレイでは2位が12を獲得します（比較内容が0の場合を除く）。</t>
        </is>
      </c>
      <c r="E78" s="0" t="n">
        <v>4</v>
      </c>
      <c r="F78" s="0" t="inlineStr">
        <is>
          <t>褒賞カード</t>
        </is>
      </c>
      <c r="G78" s="0" t="inlineStr">
        <is>
          <t>追加</t>
        </is>
      </c>
    </row>
    <row r="79">
      <c r="A79" s="0" t="inlineStr">
        <is>
          <t>T002</t>
        </is>
      </c>
      <c r="B79" s="0" t="inlineStr">
        <is>
          <t>T017</t>
        </is>
      </c>
      <c r="C79" s="13" t="inlineStr">
        <is>
          <t>「大陸覇権」の陸区域の通信確立数に、自分の発射拠点区域は含みますか。</t>
        </is>
      </c>
      <c r="D79" s="13" t="inlineStr">
        <is>
          <t>はい、含みます。発射拠点区域はその持ち主にとって通信確立済みの区域として扱われます。</t>
        </is>
      </c>
      <c r="E79" s="0" t="n">
        <v>4</v>
      </c>
      <c r="F79" s="0" t="inlineStr">
        <is>
          <t>褒賞カード</t>
        </is>
      </c>
      <c r="G79" s="0" t="inlineStr">
        <is>
          <t>追加</t>
        </is>
      </c>
      <c r="H79" s="0" t="inlineStr">
        <is>
          <t>ルールブックp.22で通信確立区域の名声（III）は発射拠点区域を含めて数えている</t>
        </is>
      </c>
    </row>
    <row r="80">
      <c r="A80" s="0" t="inlineStr">
        <is>
          <t>T004</t>
        </is>
      </c>
      <c r="B80" s="0" t="inlineStr">
        <is>
          <t>T003,T022</t>
        </is>
      </c>
      <c r="C80" s="13" t="inlineStr">
        <is>
          <t>「連鎖覇権」「独立覇権」などで区域のつながりを数えるとき、ゲームボードの左端と右端の区域はつながっているとみなしますか。</t>
        </is>
      </c>
      <c r="D80" s="13" t="inlineStr">
        <is>
          <t>はい、つながっているとみなします。循環フェイズの移動と同様に、ゲームボードの左右端は繋がっているものとして扱います。</t>
        </is>
      </c>
      <c r="E80" s="0" t="n">
        <v>4</v>
      </c>
      <c r="F80" s="0" t="inlineStr">
        <is>
          <t>褒賞カード</t>
        </is>
      </c>
      <c r="G80" s="0" t="inlineStr">
        <is>
          <t>追加</t>
        </is>
      </c>
    </row>
    <row r="81">
      <c r="A81" s="0" t="inlineStr">
        <is>
          <t>T003</t>
        </is>
      </c>
      <c r="B81" s="0" t="inlineStr">
        <is>
          <t>T004</t>
        </is>
      </c>
      <c r="C81" s="13" t="inlineStr">
        <is>
          <t>「独立覇権」で、1区域だけ孤立して通信確立している場合も「まとまり」1つとして数えますか。</t>
        </is>
      </c>
      <c r="D81" s="13" t="inlineStr">
        <is>
          <t>はい、数えます。他の通信確立済み区域と隣接していない1区域も、まとまり1つとして数えます。</t>
        </is>
      </c>
      <c r="E81" s="0" t="n">
        <v>3</v>
      </c>
      <c r="F81" s="0" t="inlineStr">
        <is>
          <t>褒賞カード</t>
        </is>
      </c>
      <c r="G81" s="0" t="inlineStr">
        <is>
          <t>追加</t>
        </is>
      </c>
    </row>
    <row r="82">
      <c r="A82" s="0" t="inlineStr">
        <is>
          <t>T007</t>
        </is>
      </c>
      <c r="C82" s="13" t="inlineStr">
        <is>
          <t>「虎視覇権」の「2番目以降に通信確立済み区域数」とは何を数えますか。他プレイヤーと同タイミングで通信確立し、キューブを重ねて置いた区域はどうなりますか。</t>
        </is>
      </c>
      <c r="D82" s="13" t="inlineStr">
        <is>
          <t>自分のキューブが区域の1番目（左上）以外の場所に置かれている区域の数を数えます。同タイミングで通信確立してキューブを1番目に重ねて置いた区域は、1番目として扱うため数えません。</t>
        </is>
      </c>
      <c r="E82" s="0" t="n">
        <v>3</v>
      </c>
      <c r="F82" s="0" t="inlineStr">
        <is>
          <t>褒賞カード</t>
        </is>
      </c>
      <c r="G82" s="0" t="inlineStr">
        <is>
          <t>追加</t>
        </is>
      </c>
    </row>
    <row r="83">
      <c r="A83" s="0" t="inlineStr">
        <is>
          <t>T008</t>
        </is>
      </c>
      <c r="C83" s="13" t="inlineStr">
        <is>
          <t>「要塞覇権」の「拠点に隣接した区域」とは、どの発射拠点に隣接する区域のことですか。</t>
        </is>
      </c>
      <c r="D83" s="13" t="inlineStr">
        <is>
          <t>自分の発射拠点だけでなく、他プレイヤーの発射拠点も含め、いずれかの発射拠点に隣接する区域のうち、自分が通信確立している区域の数を数えます。自分の発射拠点区域そのものは数えません。</t>
        </is>
      </c>
      <c r="E83" s="0" t="n">
        <v>3</v>
      </c>
      <c r="F83" s="0" t="inlineStr">
        <is>
          <t>褒賞カード</t>
        </is>
      </c>
      <c r="G83" s="0" t="inlineStr">
        <is>
          <t>追加</t>
        </is>
      </c>
      <c r="H83" s="0" t="inlineStr">
        <is>
          <t>他プレイヤーの拠点の隣接も含む（確認済み）</t>
        </is>
      </c>
    </row>
    <row r="84">
      <c r="A84" s="0" t="inlineStr">
        <is>
          <t>T009</t>
        </is>
      </c>
      <c r="B84" s="0" t="inlineStr">
        <is>
          <t>T010,T011,T012</t>
        </is>
      </c>
      <c r="C84" s="13" t="inlineStr">
        <is>
          <t>「連隊覇権」「軌道覇権」などプロジェクトカードの配備数を比べる褒賞では、非稼働の衛星に配備されているカードも数えますか。</t>
        </is>
      </c>
      <c r="D84" s="13" t="inlineStr">
        <is>
          <t>はい、数えます。稼働中かどうかに関わらず、自分の衛星に配備されているプロジェクトカードを数えます。</t>
        </is>
      </c>
      <c r="E84" s="0" t="n">
        <v>4</v>
      </c>
      <c r="F84" s="0" t="inlineStr">
        <is>
          <t>褒賞カード</t>
        </is>
      </c>
      <c r="G84" s="0" t="inlineStr">
        <is>
          <t>追加</t>
        </is>
      </c>
      <c r="H84" s="0" t="inlineStr">
        <is>
          <t>ルールブックp.24のVII-c（タイプの集結）は非稼働の衛星も数えている</t>
        </is>
      </c>
    </row>
    <row r="85">
      <c r="A85" s="0" t="inlineStr">
        <is>
          <t>T015</t>
        </is>
      </c>
      <c r="B85" s="0" t="inlineStr">
        <is>
          <t>T016</t>
        </is>
      </c>
      <c r="C85" s="13" t="inlineStr">
        <is>
          <t>「火焔覇権」で、燃料コマが燃料庫からはみ出している衛星の残燃料はいくつとして数えますか。</t>
        </is>
      </c>
      <c r="D85" s="13" t="inlineStr">
        <is>
          <t>0として数えます。</t>
        </is>
      </c>
      <c r="E85" s="0" t="n">
        <v>2</v>
      </c>
      <c r="F85" s="0" t="inlineStr">
        <is>
          <t>褒賞カード</t>
        </is>
      </c>
      <c r="G85" s="0" t="inlineStr">
        <is>
          <t>追加</t>
        </is>
      </c>
    </row>
    <row r="86">
      <c r="A86" s="0" t="inlineStr">
        <is>
          <t>T016</t>
        </is>
      </c>
      <c r="B86" s="0" t="inlineStr">
        <is>
          <t>T015</t>
        </is>
      </c>
      <c r="C86" s="13" t="inlineStr">
        <is>
          <t>「業魔覇権」の「特定の衛星の最大積載燃料」とは何を比べますか。非稼働の衛星も対象になりますか。</t>
        </is>
      </c>
      <c r="D86" s="13" t="inlineStr">
        <is>
          <t>自分の衛星のうち、燃料庫の数（衛星カードと配備されているプロジェクトカードの燃料庫の合計）が最も多い1機の値を比べます。非稼働の衛星も対象になります。</t>
        </is>
      </c>
      <c r="E86" s="0" t="n">
        <v>3</v>
      </c>
      <c r="F86" s="0" t="inlineStr">
        <is>
          <t>褒賞カード</t>
        </is>
      </c>
      <c r="G86" s="0" t="inlineStr">
        <is>
          <t>追加</t>
        </is>
      </c>
    </row>
    <row r="87">
      <c r="A87" s="0" t="inlineStr">
        <is>
          <t>T019</t>
        </is>
      </c>
      <c r="B87" s="0" t="inlineStr">
        <is>
          <t>T020,T021,T023,T024</t>
        </is>
      </c>
      <c r="C87" s="13" t="inlineStr">
        <is>
          <t>「山麓覇権」などの「◯◯区域に隣接した海区域の通信確立数」で、山岳区域そのものを通信確立している必要はありますか。また、複数の山岳区域に隣接する海区域はどう数えますか。</t>
        </is>
      </c>
      <c r="D87" s="13" t="inlineStr">
        <is>
          <t>山岳区域そのものを通信確立している必要はありません。また、複数の山岳区域に隣接する海区域も1区域として1回だけ数えます。</t>
        </is>
      </c>
      <c r="E87" s="0" t="n">
        <v>3</v>
      </c>
      <c r="F87" s="0" t="inlineStr">
        <is>
          <t>褒賞カード</t>
        </is>
      </c>
      <c r="G87" s="0" t="inlineStr">
        <is>
          <t>追加</t>
        </is>
      </c>
    </row>
    <row r="88">
      <c r="A88" s="0" t="inlineStr">
        <is>
          <t>M001</t>
        </is>
      </c>
      <c r="C88" s="13" t="inlineStr">
        <is>
          <t>ミッションカードは回転・反転させて達成してもよいですか。</t>
        </is>
      </c>
      <c r="D88" s="13" t="inlineStr">
        <is>
          <t>回転させて達成することはできますが、反転（裏返し）させることはできません。</t>
        </is>
      </c>
      <c r="E88" s="0" t="n">
        <v>5</v>
      </c>
      <c r="F88" s="0" t="inlineStr">
        <is>
          <t>ミッションカード</t>
        </is>
      </c>
      <c r="G88" s="0" t="inlineStr">
        <is>
          <t>追加</t>
        </is>
      </c>
      <c r="H88" s="0" t="inlineStr">
        <is>
          <t>ルールブックp.8</t>
        </is>
      </c>
    </row>
    <row r="89">
      <c r="A89" s="0" t="inlineStr">
        <is>
          <t>M001</t>
        </is>
      </c>
      <c r="B89" s="0" t="inlineStr">
        <is>
          <t>M002,M003,M004,M005,M006,M007,M008,M009,M010</t>
        </is>
      </c>
      <c r="C89" s="13" t="inlineStr">
        <is>
          <t>ミッションカードの形に通信確立した区域は、陸区域・海区域などの種類を問いますか。</t>
        </is>
      </c>
      <c r="D89" s="13" t="inlineStr">
        <is>
          <t>いいえ、問いません。区域の種類に関係なく、自分の通信確立キューブまたは発射拠点が条件の形どおりに配置されていれば達成となります。</t>
        </is>
      </c>
      <c r="E89" s="0" t="n">
        <v>5</v>
      </c>
      <c r="F89" s="0" t="inlineStr">
        <is>
          <t>ミッションカード</t>
        </is>
      </c>
      <c r="G89" s="0" t="inlineStr">
        <is>
          <t>追加</t>
        </is>
      </c>
      <c r="H89" s="0" t="inlineStr">
        <is>
          <t>ルールブックp.8の例</t>
        </is>
      </c>
    </row>
    <row r="90">
      <c r="A90" s="0" t="inlineStr">
        <is>
          <t>M001</t>
        </is>
      </c>
      <c r="C90" s="13" t="inlineStr">
        <is>
          <t>ミッションカードの薄い色の部分と濃い色の部分の両方を達成した場合、両方の名声を獲得できますか。</t>
        </is>
      </c>
      <c r="D90" s="13" t="inlineStr">
        <is>
          <t>いいえ、濃い色の部分まで達成した場合の名声（高い方）のみを獲得します。薄い色の部分の名声が追加で入ることはありません。</t>
        </is>
      </c>
      <c r="E90" s="0" t="n">
        <v>5</v>
      </c>
      <c r="F90" s="0" t="inlineStr">
        <is>
          <t>ミッションカード</t>
        </is>
      </c>
      <c r="G90" s="0" t="inlineStr">
        <is>
          <t>追加</t>
        </is>
      </c>
      <c r="H90" s="0" t="inlineStr">
        <is>
          <t>ルールブックp.8</t>
        </is>
      </c>
    </row>
    <row r="91">
      <c r="A91" s="0" t="inlineStr">
        <is>
          <t>M001</t>
        </is>
      </c>
      <c r="C91" s="13" t="inlineStr">
        <is>
          <t>配られた2枚のミッションカードを両方達成した場合、両方の名声を獲得できますか。また、同じ通信確立キューブを両方のミッションで使えますか。</t>
        </is>
      </c>
      <c r="D91" s="13" t="inlineStr">
        <is>
          <t>両方の名声を獲得できます。ただし、複数のミッションカードの達成対象として同じ通信確立キューブ/発射拠点を使うことはできません。</t>
        </is>
      </c>
      <c r="E91" s="0" t="n">
        <v>5</v>
      </c>
      <c r="F91" s="0" t="inlineStr">
        <is>
          <t>ミッションカード</t>
        </is>
      </c>
      <c r="G91" s="0" t="inlineStr">
        <is>
          <t>追加</t>
        </is>
      </c>
      <c r="H91" s="0" t="inlineStr">
        <is>
          <t>ルールブックp.8</t>
        </is>
      </c>
    </row>
    <row r="92">
      <c r="A92" s="0" t="inlineStr">
        <is>
          <t>M001</t>
        </is>
      </c>
      <c r="C92" s="13" t="inlineStr">
        <is>
          <t>「LOOP」の中央の区域（形の内側の空白）が通信確立済みでも達成になりますか。</t>
        </is>
      </c>
      <c r="D92" s="13" t="inlineStr">
        <is>
          <t>はい、達成になります。条件の形の区域に自分のキューブ/発射拠点があればよく、内側の区域の状態は問いません。</t>
        </is>
      </c>
      <c r="E92" s="0" t="n">
        <v>3</v>
      </c>
      <c r="F92" s="0" t="inlineStr">
        <is>
          <t>ミッションカード</t>
        </is>
      </c>
      <c r="G92" s="0" t="inlineStr">
        <is>
          <t>追加</t>
        </is>
      </c>
      <c r="H92" s="0" t="inlineStr">
        <is>
          <t>ルールブックp.8の例（中央に発射拠点がある状態で17を獲得）</t>
        </is>
      </c>
    </row>
    <row r="93">
      <c r="A93" s="0" t="inlineStr">
        <is>
          <t>M003</t>
        </is>
      </c>
      <c r="C93" s="13" t="inlineStr">
        <is>
          <t>同じミッションカードの形を2か所で達成した場合、名声を2回獲得できますか。</t>
        </is>
      </c>
      <c r="D93" s="13" t="inlineStr">
        <is>
          <t>いいえ、1枚のミッションカードにつき名声を獲得できるのは1回のみです。</t>
        </is>
      </c>
      <c r="E93" s="0" t="n">
        <v>3</v>
      </c>
      <c r="F93" s="0" t="inlineStr">
        <is>
          <t>ミッションカード</t>
        </is>
      </c>
      <c r="G93" s="0" t="inlineStr">
        <is>
          <t>追加</t>
        </is>
      </c>
    </row>
    <row r="94">
      <c r="A94" s="0" t="inlineStr">
        <is>
          <t>M001</t>
        </is>
      </c>
      <c r="C94" s="13" t="inlineStr">
        <is>
          <t>他プレイヤーのキューブも置かれている区域を、自分のミッションの達成に使えますか。</t>
        </is>
      </c>
      <c r="D94" s="13" t="inlineStr">
        <is>
          <t>はい、使えます。その区域に自分の通信確立キューブがあれば、何番目に置かれていても達成の対象になります。</t>
        </is>
      </c>
      <c r="E94" s="0" t="n">
        <v>3</v>
      </c>
      <c r="F94" s="0" t="inlineStr">
        <is>
          <t>ミッションカード</t>
        </is>
      </c>
      <c r="G94" s="0" t="inlineStr">
        <is>
          <t>追加</t>
        </is>
      </c>
    </row>
    <row r="95">
      <c r="A95" s="0" t="inlineStr">
        <is>
          <t>M001</t>
        </is>
      </c>
      <c r="C95" s="13" t="inlineStr">
        <is>
          <t>ミッションカードは他のプレイヤーに公開しますか。</t>
        </is>
      </c>
      <c r="D95" s="13" t="inlineStr">
        <is>
          <t>いいえ、ゲーム終了時の名声計算まで非公開です。</t>
        </is>
      </c>
      <c r="E95" s="0" t="n">
        <v>2</v>
      </c>
      <c r="F95" s="0" t="inlineStr">
        <is>
          <t>ミッションカード</t>
        </is>
      </c>
      <c r="G95" s="0" t="inlineStr">
        <is>
          <t>追加</t>
        </is>
      </c>
    </row>
    <row r="96">
      <c r="C96" s="13" t="n"/>
      <c r="D96" s="13" t="n"/>
    </row>
    <row r="97">
      <c r="C97" s="13" t="n"/>
      <c r="D97" s="13" t="n"/>
    </row>
    <row r="98">
      <c r="C98" s="13" t="n"/>
      <c r="D98" s="13" t="n"/>
    </row>
    <row r="99">
      <c r="C99" s="13" t="n"/>
      <c r="D99" s="13" t="n"/>
    </row>
    <row r="100">
      <c r="C100" s="13" t="n"/>
      <c r="D100" s="13" t="n"/>
    </row>
    <row r="101">
      <c r="C101" s="13" t="n"/>
      <c r="D101" s="13" t="n"/>
    </row>
    <row r="102">
      <c r="C102" s="13" t="n"/>
      <c r="D102" s="13" t="n"/>
    </row>
    <row r="103">
      <c r="C103" s="13" t="n"/>
      <c r="D103" s="13" t="n"/>
    </row>
    <row r="104">
      <c r="C104" s="13" t="n"/>
      <c r="D104" s="13" t="n"/>
    </row>
    <row r="105">
      <c r="C105" s="13" t="n"/>
      <c r="D105" s="13" t="n"/>
    </row>
    <row r="106">
      <c r="C106" s="13" t="n"/>
      <c r="D106" s="13" t="n"/>
    </row>
    <row r="107">
      <c r="C107" s="13" t="n"/>
      <c r="D107" s="13" t="n"/>
    </row>
    <row r="108">
      <c r="C108" s="13" t="n"/>
      <c r="D108" s="13" t="n"/>
    </row>
    <row r="109">
      <c r="C109" s="13" t="n"/>
      <c r="D109" s="13" t="n"/>
    </row>
    <row r="110">
      <c r="C110" s="13" t="n"/>
      <c r="D110" s="13" t="n"/>
    </row>
    <row r="111">
      <c r="C111" s="13" t="n"/>
      <c r="D111" s="13" t="n"/>
    </row>
    <row r="112">
      <c r="C112" s="13" t="n"/>
      <c r="D112" s="13" t="n"/>
    </row>
    <row r="113">
      <c r="C113" s="13" t="n"/>
      <c r="D113" s="13" t="n"/>
    </row>
    <row r="114">
      <c r="C114" s="13" t="n"/>
      <c r="D114" s="13" t="n"/>
    </row>
    <row r="115">
      <c r="C115" s="13" t="n"/>
      <c r="D115" s="13" t="n"/>
    </row>
    <row r="116">
      <c r="C116" s="13" t="n"/>
      <c r="D116" s="13" t="n"/>
    </row>
    <row r="117">
      <c r="C117" s="13" t="n"/>
      <c r="D117" s="13" t="n"/>
    </row>
    <row r="118">
      <c r="C118" s="13" t="n"/>
      <c r="D118" s="13" t="n"/>
    </row>
    <row r="119">
      <c r="C119" s="13" t="n"/>
      <c r="D119" s="13" t="n"/>
    </row>
    <row r="120">
      <c r="C120" s="13" t="n"/>
      <c r="D120" s="13" t="n"/>
    </row>
    <row r="121">
      <c r="C121" s="13" t="n"/>
      <c r="D121" s="13" t="n"/>
    </row>
    <row r="122">
      <c r="C122" s="13" t="n"/>
      <c r="D122" s="13" t="n"/>
    </row>
    <row r="123">
      <c r="C123" s="13" t="n"/>
      <c r="D123" s="13" t="n"/>
    </row>
    <row r="124">
      <c r="C124" s="13" t="n"/>
      <c r="D124" s="13" t="n"/>
    </row>
    <row r="125">
      <c r="C125" s="13" t="n"/>
      <c r="D125" s="13" t="n"/>
    </row>
    <row r="126">
      <c r="C126" s="13" t="n"/>
      <c r="D126" s="13" t="n"/>
    </row>
    <row r="127">
      <c r="C127" s="13" t="n"/>
      <c r="D127" s="13" t="n"/>
    </row>
    <row r="128">
      <c r="C128" s="13" t="n"/>
      <c r="D128" s="13" t="n"/>
    </row>
    <row r="129">
      <c r="C129" s="13" t="n"/>
      <c r="D129" s="13" t="n"/>
    </row>
    <row r="130">
      <c r="C130" s="13" t="n"/>
      <c r="D130" s="13" t="n"/>
    </row>
    <row r="131">
      <c r="C131" s="13" t="n"/>
      <c r="D131" s="13" t="n"/>
    </row>
    <row r="132">
      <c r="C132" s="13" t="n"/>
      <c r="D132" s="13" t="n"/>
    </row>
    <row r="133">
      <c r="C133" s="13" t="n"/>
      <c r="D133" s="13" t="n"/>
    </row>
    <row r="134">
      <c r="C134" s="13" t="n"/>
      <c r="D134" s="13" t="n"/>
    </row>
    <row r="135">
      <c r="C135" s="13" t="n"/>
      <c r="D135" s="13" t="n"/>
    </row>
    <row r="136">
      <c r="C136" s="13" t="n"/>
      <c r="D136" s="13" t="n"/>
    </row>
    <row r="137">
      <c r="C137" s="13" t="n"/>
      <c r="D137" s="13" t="n"/>
    </row>
    <row r="138">
      <c r="C138" s="13" t="n"/>
      <c r="D138" s="13" t="n"/>
    </row>
    <row r="139">
      <c r="C139" s="13" t="n"/>
      <c r="D139" s="13" t="n"/>
    </row>
    <row r="140">
      <c r="C140" s="13" t="n"/>
      <c r="D140" s="13" t="n"/>
    </row>
    <row r="141">
      <c r="C141" s="13" t="n"/>
      <c r="D141" s="13" t="n"/>
    </row>
    <row r="142">
      <c r="C142" s="13" t="n"/>
      <c r="D142" s="13" t="n"/>
    </row>
    <row r="143">
      <c r="C143" s="13" t="n"/>
      <c r="D143" s="13" t="n"/>
    </row>
    <row r="144">
      <c r="C144" s="13" t="n"/>
      <c r="D144" s="13" t="n"/>
    </row>
    <row r="145">
      <c r="C145" s="13" t="n"/>
      <c r="D145" s="13" t="n"/>
    </row>
    <row r="146">
      <c r="C146" s="13" t="n"/>
      <c r="D146" s="13" t="n"/>
    </row>
    <row r="147">
      <c r="C147" s="13" t="n"/>
      <c r="D147" s="13" t="n"/>
    </row>
    <row r="148">
      <c r="C148" s="13" t="n"/>
      <c r="D148" s="13" t="n"/>
    </row>
    <row r="149">
      <c r="C149" s="13" t="n"/>
      <c r="D149" s="13" t="n"/>
    </row>
    <row r="150">
      <c r="C150" s="13" t="n"/>
      <c r="D150" s="13" t="n"/>
    </row>
    <row r="151">
      <c r="C151" s="13" t="n"/>
      <c r="D151" s="13" t="n"/>
    </row>
    <row r="152">
      <c r="C152" s="13" t="n"/>
      <c r="D152" s="13" t="n"/>
    </row>
    <row r="153">
      <c r="C153" s="13" t="n"/>
      <c r="D153" s="13" t="n"/>
    </row>
    <row r="154">
      <c r="C154" s="13" t="n"/>
      <c r="D154" s="13" t="n"/>
    </row>
    <row r="155">
      <c r="C155" s="13" t="n"/>
      <c r="D155" s="13" t="n"/>
    </row>
    <row r="156">
      <c r="C156" s="13" t="n"/>
      <c r="D156" s="13" t="n"/>
    </row>
    <row r="157">
      <c r="C157" s="13" t="n"/>
      <c r="D157" s="13" t="n"/>
    </row>
    <row r="158">
      <c r="C158" s="13" t="n"/>
      <c r="D158" s="13" t="n"/>
    </row>
    <row r="159">
      <c r="C159" s="13" t="n"/>
      <c r="D159" s="13" t="n"/>
    </row>
    <row r="160">
      <c r="C160" s="13" t="n"/>
      <c r="D160" s="13" t="n"/>
    </row>
    <row r="161">
      <c r="C161" s="13" t="n"/>
      <c r="D161" s="13" t="n"/>
    </row>
    <row r="162">
      <c r="C162" s="13" t="n"/>
      <c r="D162" s="13" t="n"/>
    </row>
    <row r="163">
      <c r="C163" s="13" t="n"/>
      <c r="D163" s="13" t="n"/>
    </row>
    <row r="164">
      <c r="C164" s="13" t="n"/>
      <c r="D164" s="13" t="n"/>
    </row>
    <row r="165">
      <c r="C165" s="13" t="n"/>
      <c r="D165" s="13" t="n"/>
    </row>
    <row r="166">
      <c r="C166" s="13" t="n"/>
      <c r="D166" s="13" t="n"/>
    </row>
    <row r="167">
      <c r="C167" s="13" t="n"/>
      <c r="D167" s="13" t="n"/>
    </row>
    <row r="168">
      <c r="C168" s="13" t="n"/>
      <c r="D168" s="13" t="n"/>
    </row>
    <row r="169">
      <c r="C169" s="13" t="n"/>
      <c r="D169" s="13" t="n"/>
    </row>
    <row r="170">
      <c r="C170" s="13" t="n"/>
      <c r="D170" s="13" t="n"/>
    </row>
    <row r="171">
      <c r="C171" s="13" t="n"/>
      <c r="D171" s="13" t="n"/>
    </row>
    <row r="172">
      <c r="C172" s="13" t="n"/>
      <c r="D172" s="13" t="n"/>
    </row>
    <row r="173">
      <c r="C173" s="13" t="n"/>
      <c r="D173" s="13" t="n"/>
    </row>
    <row r="174">
      <c r="C174" s="13" t="n"/>
      <c r="D174" s="13" t="n"/>
    </row>
    <row r="175">
      <c r="C175" s="13" t="n"/>
      <c r="D175" s="13" t="n"/>
    </row>
    <row r="176">
      <c r="C176" s="13" t="n"/>
      <c r="D176" s="13" t="n"/>
    </row>
    <row r="177">
      <c r="C177" s="13" t="n"/>
      <c r="D177" s="13" t="n"/>
    </row>
    <row r="178">
      <c r="C178" s="13" t="n"/>
      <c r="D178" s="13" t="n"/>
    </row>
    <row r="179">
      <c r="C179" s="13" t="n"/>
      <c r="D179" s="13" t="n"/>
    </row>
    <row r="180">
      <c r="C180" s="13" t="n"/>
      <c r="D180" s="13" t="n"/>
    </row>
    <row r="181">
      <c r="C181" s="13" t="n"/>
      <c r="D181" s="13" t="n"/>
    </row>
    <row r="182">
      <c r="C182" s="13" t="n"/>
      <c r="D182" s="13" t="n"/>
    </row>
    <row r="183">
      <c r="C183" s="13" t="n"/>
      <c r="D183" s="13" t="n"/>
    </row>
    <row r="184">
      <c r="C184" s="13" t="n"/>
      <c r="D184" s="13" t="n"/>
    </row>
    <row r="185">
      <c r="C185" s="13" t="n"/>
      <c r="D185" s="13" t="n"/>
    </row>
    <row r="186">
      <c r="C186" s="13" t="n"/>
      <c r="D186" s="13" t="n"/>
    </row>
    <row r="187">
      <c r="C187" s="13" t="n"/>
      <c r="D187" s="13" t="n"/>
    </row>
    <row r="188">
      <c r="C188" s="13" t="n"/>
      <c r="D188" s="13" t="n"/>
    </row>
    <row r="189">
      <c r="C189" s="13" t="n"/>
      <c r="D189" s="13" t="n"/>
    </row>
    <row r="190">
      <c r="C190" s="13" t="n"/>
      <c r="D190" s="13" t="n"/>
    </row>
    <row r="191">
      <c r="C191" s="13" t="n"/>
      <c r="D191" s="13" t="n"/>
    </row>
    <row r="192">
      <c r="C192" s="13" t="n"/>
      <c r="D192" s="13" t="n"/>
    </row>
    <row r="193">
      <c r="C193" s="13" t="n"/>
      <c r="D193" s="13" t="n"/>
    </row>
    <row r="194">
      <c r="C194" s="13" t="n"/>
      <c r="D194" s="13" t="n"/>
    </row>
    <row r="195">
      <c r="C195" s="13" t="n"/>
      <c r="D195" s="13" t="n"/>
    </row>
    <row r="196">
      <c r="C196" s="13" t="n"/>
      <c r="D196" s="13" t="n"/>
    </row>
    <row r="197">
      <c r="C197" s="13" t="n"/>
      <c r="D197" s="13" t="n"/>
    </row>
    <row r="198">
      <c r="C198" s="13" t="n"/>
      <c r="D198" s="13" t="n"/>
    </row>
    <row r="199">
      <c r="C199" s="13" t="n"/>
      <c r="D199" s="13" t="n"/>
    </row>
    <row r="200">
      <c r="C200" s="13" t="n"/>
      <c r="D200" s="13" t="n"/>
    </row>
    <row r="201">
      <c r="C201" s="13" t="n"/>
      <c r="D201" s="13" t="n"/>
    </row>
    <row r="202">
      <c r="C202" s="13" t="n"/>
      <c r="D202" s="13" t="n"/>
    </row>
    <row r="203">
      <c r="C203" s="13" t="n"/>
      <c r="D203" s="13" t="n"/>
    </row>
    <row r="204">
      <c r="C204" s="13" t="n"/>
      <c r="D204" s="13" t="n"/>
    </row>
    <row r="205">
      <c r="C205" s="13" t="n"/>
      <c r="D205" s="13" t="n"/>
    </row>
    <row r="206">
      <c r="C206" s="13" t="n"/>
      <c r="D206" s="13" t="n"/>
    </row>
    <row r="207">
      <c r="C207" s="13" t="n"/>
      <c r="D207" s="13" t="n"/>
    </row>
    <row r="208">
      <c r="C208" s="13" t="n"/>
      <c r="D208" s="13" t="n"/>
    </row>
    <row r="209">
      <c r="C209" s="13" t="n"/>
      <c r="D209" s="13" t="n"/>
    </row>
    <row r="210">
      <c r="C210" s="13" t="n"/>
      <c r="D210" s="13" t="n"/>
    </row>
    <row r="211">
      <c r="C211" s="13" t="n"/>
      <c r="D211" s="13" t="n"/>
    </row>
    <row r="212">
      <c r="C212" s="13" t="n"/>
      <c r="D212" s="13" t="n"/>
    </row>
    <row r="213">
      <c r="C213" s="13" t="n"/>
      <c r="D213" s="13" t="n"/>
    </row>
    <row r="214">
      <c r="C214" s="13" t="n"/>
      <c r="D214" s="13" t="n"/>
    </row>
    <row r="215">
      <c r="C215" s="13" t="n"/>
      <c r="D215" s="13" t="n"/>
    </row>
    <row r="216">
      <c r="C216" s="13" t="n"/>
      <c r="D216" s="13" t="n"/>
    </row>
    <row r="217">
      <c r="C217" s="13" t="n"/>
      <c r="D217" s="13" t="n"/>
    </row>
    <row r="218">
      <c r="C218" s="13" t="n"/>
      <c r="D218" s="13" t="n"/>
    </row>
    <row r="219">
      <c r="C219" s="13" t="n"/>
      <c r="D219" s="13" t="n"/>
    </row>
    <row r="220">
      <c r="C220" s="13" t="n"/>
      <c r="D220" s="13" t="n"/>
    </row>
    <row r="221">
      <c r="C221" s="13" t="n"/>
      <c r="D221" s="13" t="n"/>
    </row>
    <row r="222">
      <c r="C222" s="13" t="n"/>
      <c r="D222" s="13" t="n"/>
    </row>
    <row r="223">
      <c r="C223" s="13" t="n"/>
      <c r="D223" s="13" t="n"/>
    </row>
    <row r="224">
      <c r="C224" s="13" t="n"/>
      <c r="D224" s="13" t="n"/>
    </row>
    <row r="225">
      <c r="C225" s="13" t="n"/>
      <c r="D225" s="13" t="n"/>
    </row>
    <row r="226">
      <c r="C226" s="13" t="n"/>
      <c r="D226" s="13" t="n"/>
    </row>
    <row r="227">
      <c r="C227" s="13" t="n"/>
      <c r="D227" s="13" t="n"/>
    </row>
    <row r="228">
      <c r="C228" s="13" t="n"/>
      <c r="D228" s="13" t="n"/>
    </row>
    <row r="229">
      <c r="C229" s="13" t="n"/>
      <c r="D229" s="13" t="n"/>
    </row>
    <row r="230">
      <c r="C230" s="13" t="n"/>
      <c r="D230" s="13" t="n"/>
    </row>
    <row r="231">
      <c r="C231" s="13" t="n"/>
      <c r="D231" s="13" t="n"/>
    </row>
    <row r="232">
      <c r="C232" s="13" t="n"/>
      <c r="D232" s="13" t="n"/>
    </row>
    <row r="233">
      <c r="C233" s="13" t="n"/>
      <c r="D233" s="13" t="n"/>
    </row>
    <row r="234">
      <c r="C234" s="13" t="n"/>
      <c r="D234" s="13" t="n"/>
    </row>
    <row r="235">
      <c r="C235" s="13" t="n"/>
      <c r="D235" s="13" t="n"/>
    </row>
    <row r="236">
      <c r="C236" s="13" t="n"/>
      <c r="D236" s="13" t="n"/>
    </row>
    <row r="237">
      <c r="C237" s="13" t="n"/>
      <c r="D237" s="13" t="n"/>
    </row>
    <row r="238">
      <c r="C238" s="13" t="n"/>
      <c r="D238" s="13" t="n"/>
    </row>
    <row r="239">
      <c r="C239" s="13" t="n"/>
      <c r="D239" s="13" t="n"/>
    </row>
    <row r="240">
      <c r="C240" s="13" t="n"/>
      <c r="D240" s="13" t="n"/>
    </row>
    <row r="241">
      <c r="C241" s="13" t="n"/>
      <c r="D241" s="13" t="n"/>
    </row>
    <row r="242">
      <c r="C242" s="13" t="n"/>
      <c r="D242" s="13" t="n"/>
    </row>
    <row r="243">
      <c r="C243" s="13" t="n"/>
      <c r="D243" s="13" t="n"/>
    </row>
    <row r="244">
      <c r="C244" s="13" t="n"/>
      <c r="D244" s="13" t="n"/>
    </row>
    <row r="245">
      <c r="C245" s="13" t="n"/>
      <c r="D245" s="13" t="n"/>
    </row>
    <row r="246">
      <c r="C246" s="13" t="n"/>
      <c r="D246" s="13" t="n"/>
    </row>
    <row r="247">
      <c r="C247" s="13" t="n"/>
      <c r="D247" s="13" t="n"/>
    </row>
    <row r="248">
      <c r="C248" s="13" t="n"/>
      <c r="D248" s="13" t="n"/>
    </row>
    <row r="249">
      <c r="C249" s="13" t="n"/>
      <c r="D249" s="13" t="n"/>
    </row>
    <row r="250">
      <c r="C250" s="13" t="n"/>
      <c r="D250" s="13" t="n"/>
    </row>
    <row r="251">
      <c r="C251" s="13" t="n"/>
      <c r="D251" s="13" t="n"/>
    </row>
    <row r="252">
      <c r="C252" s="13" t="n"/>
      <c r="D252" s="13" t="n"/>
    </row>
    <row r="253">
      <c r="C253" s="13" t="n"/>
      <c r="D253" s="13" t="n"/>
    </row>
    <row r="254">
      <c r="C254" s="13" t="n"/>
      <c r="D254" s="13" t="n"/>
    </row>
    <row r="255">
      <c r="C255" s="13" t="n"/>
      <c r="D255" s="13" t="n"/>
    </row>
    <row r="256">
      <c r="C256" s="13" t="n"/>
      <c r="D256" s="13" t="n"/>
    </row>
    <row r="257">
      <c r="C257" s="13" t="n"/>
      <c r="D257" s="13" t="n"/>
    </row>
    <row r="258">
      <c r="C258" s="13" t="n"/>
      <c r="D258" s="13" t="n"/>
    </row>
    <row r="259">
      <c r="C259" s="13" t="n"/>
      <c r="D259" s="13" t="n"/>
    </row>
    <row r="260">
      <c r="C260" s="13" t="n"/>
      <c r="D260" s="13" t="n"/>
    </row>
    <row r="261">
      <c r="C261" s="13" t="n"/>
      <c r="D261" s="13" t="n"/>
    </row>
    <row r="262">
      <c r="C262" s="13" t="n"/>
      <c r="D262" s="13" t="n"/>
    </row>
    <row r="263">
      <c r="C263" s="13" t="n"/>
      <c r="D263" s="13" t="n"/>
    </row>
    <row r="264">
      <c r="C264" s="13" t="n"/>
      <c r="D264" s="13" t="n"/>
    </row>
    <row r="265">
      <c r="C265" s="13" t="n"/>
      <c r="D265" s="13" t="n"/>
    </row>
    <row r="266">
      <c r="C266" s="13" t="n"/>
      <c r="D266" s="13" t="n"/>
    </row>
    <row r="267">
      <c r="C267" s="13" t="n"/>
      <c r="D267" s="13" t="n"/>
    </row>
    <row r="268">
      <c r="C268" s="13" t="n"/>
      <c r="D268" s="13" t="n"/>
    </row>
    <row r="269">
      <c r="C269" s="13" t="n"/>
      <c r="D269" s="13" t="n"/>
    </row>
    <row r="270">
      <c r="C270" s="13" t="n"/>
      <c r="D270" s="13" t="n"/>
    </row>
    <row r="271">
      <c r="C271" s="13" t="n"/>
      <c r="D271" s="13" t="n"/>
    </row>
    <row r="272">
      <c r="C272" s="13" t="n"/>
      <c r="D272" s="13" t="n"/>
    </row>
    <row r="273">
      <c r="C273" s="13" t="n"/>
      <c r="D273" s="13" t="n"/>
    </row>
    <row r="274">
      <c r="C274" s="13" t="n"/>
      <c r="D274" s="13" t="n"/>
    </row>
    <row r="275">
      <c r="C275" s="13" t="n"/>
      <c r="D275" s="13" t="n"/>
    </row>
    <row r="276">
      <c r="C276" s="13" t="n"/>
      <c r="D276" s="13" t="n"/>
    </row>
    <row r="277">
      <c r="C277" s="13" t="n"/>
      <c r="D277" s="13" t="n"/>
    </row>
    <row r="278">
      <c r="C278" s="13" t="n"/>
      <c r="D278" s="13" t="n"/>
    </row>
    <row r="279">
      <c r="C279" s="13" t="n"/>
      <c r="D279" s="13" t="n"/>
    </row>
    <row r="280">
      <c r="C280" s="13" t="n"/>
      <c r="D280" s="13" t="n"/>
    </row>
    <row r="281">
      <c r="C281" s="13" t="n"/>
      <c r="D281" s="13" t="n"/>
    </row>
    <row r="282">
      <c r="C282" s="13" t="n"/>
      <c r="D282" s="13" t="n"/>
    </row>
    <row r="283">
      <c r="C283" s="13" t="n"/>
      <c r="D283" s="13" t="n"/>
    </row>
    <row r="284">
      <c r="C284" s="13" t="n"/>
      <c r="D284" s="13" t="n"/>
    </row>
    <row r="285">
      <c r="C285" s="13" t="n"/>
      <c r="D285" s="13" t="n"/>
    </row>
    <row r="286">
      <c r="C286" s="13" t="n"/>
      <c r="D286" s="13" t="n"/>
    </row>
    <row r="287">
      <c r="C287" s="13" t="n"/>
      <c r="D287" s="13" t="n"/>
    </row>
    <row r="288">
      <c r="C288" s="13" t="n"/>
      <c r="D288" s="13" t="n"/>
    </row>
    <row r="289">
      <c r="C289" s="13" t="n"/>
      <c r="D289" s="13" t="n"/>
    </row>
    <row r="290">
      <c r="C290" s="13" t="n"/>
      <c r="D290" s="13" t="n"/>
    </row>
    <row r="291">
      <c r="C291" s="13" t="n"/>
      <c r="D291" s="13" t="n"/>
    </row>
    <row r="292">
      <c r="C292" s="13" t="n"/>
      <c r="D292" s="13" t="n"/>
    </row>
    <row r="293">
      <c r="C293" s="13" t="n"/>
      <c r="D293" s="13" t="n"/>
    </row>
    <row r="294">
      <c r="C294" s="13" t="n"/>
      <c r="D294" s="13" t="n"/>
    </row>
    <row r="295">
      <c r="C295" s="13" t="n"/>
      <c r="D295" s="13" t="n"/>
    </row>
    <row r="296">
      <c r="C296" s="13" t="n"/>
      <c r="D296" s="13" t="n"/>
    </row>
    <row r="297">
      <c r="C297" s="13" t="n"/>
      <c r="D297" s="13" t="n"/>
    </row>
    <row r="298">
      <c r="C298" s="13" t="n"/>
      <c r="D298" s="13" t="n"/>
    </row>
    <row r="299">
      <c r="C299" s="13" t="n"/>
      <c r="D299" s="13" t="n"/>
    </row>
    <row r="300">
      <c r="C300" s="13" t="n"/>
      <c r="D300" s="13" t="n"/>
    </row>
    <row r="301">
      <c r="C301" s="13" t="n"/>
      <c r="D301" s="13" t="n"/>
    </row>
    <row r="302">
      <c r="C302" s="13" t="n"/>
      <c r="D302" s="13" t="n"/>
    </row>
    <row r="303">
      <c r="C303" s="13" t="n"/>
      <c r="D303" s="13" t="n"/>
    </row>
    <row r="304">
      <c r="C304" s="13" t="n"/>
      <c r="D304" s="13" t="n"/>
    </row>
    <row r="305">
      <c r="C305" s="13" t="n"/>
      <c r="D305" s="13" t="n"/>
    </row>
    <row r="306">
      <c r="C306" s="13" t="n"/>
      <c r="D306" s="13" t="n"/>
    </row>
    <row r="307">
      <c r="C307" s="13" t="n"/>
      <c r="D307" s="13" t="n"/>
    </row>
    <row r="308">
      <c r="C308" s="13" t="n"/>
      <c r="D308" s="13" t="n"/>
    </row>
    <row r="309">
      <c r="C309" s="13" t="n"/>
      <c r="D309" s="13" t="n"/>
    </row>
    <row r="310">
      <c r="C310" s="13" t="n"/>
      <c r="D310" s="13" t="n"/>
    </row>
    <row r="311">
      <c r="C311" s="13" t="n"/>
      <c r="D311" s="13" t="n"/>
    </row>
    <row r="312">
      <c r="C312" s="13" t="n"/>
      <c r="D312" s="13" t="n"/>
    </row>
    <row r="313">
      <c r="C313" s="13" t="n"/>
      <c r="D313" s="13" t="n"/>
    </row>
    <row r="314">
      <c r="C314" s="13" t="n"/>
      <c r="D314" s="13" t="n"/>
    </row>
    <row r="315">
      <c r="C315" s="13" t="n"/>
      <c r="D315" s="13" t="n"/>
    </row>
    <row r="316">
      <c r="C316" s="13" t="n"/>
      <c r="D316" s="13" t="n"/>
    </row>
    <row r="317">
      <c r="C317" s="13" t="n"/>
      <c r="D317" s="13" t="n"/>
    </row>
    <row r="318">
      <c r="C318" s="13" t="n"/>
      <c r="D318" s="13" t="n"/>
    </row>
    <row r="319">
      <c r="C319" s="13" t="n"/>
      <c r="D319" s="13" t="n"/>
    </row>
    <row r="320">
      <c r="C320" s="13" t="n"/>
      <c r="D320" s="13" t="n"/>
    </row>
    <row r="321">
      <c r="C321" s="13" t="n"/>
      <c r="D321" s="13" t="n"/>
    </row>
    <row r="322">
      <c r="C322" s="13" t="n"/>
      <c r="D322" s="13" t="n"/>
    </row>
    <row r="323">
      <c r="C323" s="13" t="n"/>
      <c r="D323" s="13" t="n"/>
    </row>
    <row r="324">
      <c r="C324" s="13" t="n"/>
      <c r="D324" s="13" t="n"/>
    </row>
    <row r="325">
      <c r="C325" s="13" t="n"/>
      <c r="D325" s="13" t="n"/>
    </row>
    <row r="326">
      <c r="C326" s="13" t="n"/>
      <c r="D326" s="13" t="n"/>
    </row>
    <row r="327">
      <c r="C327" s="13" t="n"/>
      <c r="D327" s="13" t="n"/>
    </row>
    <row r="328">
      <c r="C328" s="13" t="n"/>
      <c r="D328" s="13" t="n"/>
    </row>
    <row r="329">
      <c r="C329" s="13" t="n"/>
      <c r="D329" s="13" t="n"/>
    </row>
    <row r="330">
      <c r="C330" s="13" t="n"/>
      <c r="D330" s="13" t="n"/>
    </row>
    <row r="331">
      <c r="C331" s="13" t="n"/>
      <c r="D331" s="13" t="n"/>
    </row>
    <row r="332">
      <c r="C332" s="13" t="n"/>
      <c r="D332" s="13" t="n"/>
    </row>
    <row r="333">
      <c r="C333" s="13" t="n"/>
      <c r="D333" s="13" t="n"/>
    </row>
    <row r="334">
      <c r="C334" s="13" t="n"/>
      <c r="D334" s="13" t="n"/>
    </row>
    <row r="335">
      <c r="C335" s="13" t="n"/>
      <c r="D335" s="13" t="n"/>
    </row>
    <row r="336">
      <c r="C336" s="13" t="n"/>
      <c r="D336" s="13" t="n"/>
    </row>
    <row r="337">
      <c r="C337" s="13" t="n"/>
      <c r="D337" s="13" t="n"/>
    </row>
    <row r="338">
      <c r="C338" s="13" t="n"/>
      <c r="D338" s="13" t="n"/>
    </row>
    <row r="339">
      <c r="C339" s="13" t="n"/>
      <c r="D339" s="13" t="n"/>
    </row>
    <row r="340">
      <c r="C340" s="13" t="n"/>
      <c r="D340" s="13" t="n"/>
    </row>
    <row r="341">
      <c r="C341" s="13" t="n"/>
      <c r="D341" s="13" t="n"/>
    </row>
    <row r="342">
      <c r="C342" s="13" t="n"/>
      <c r="D342" s="13" t="n"/>
    </row>
    <row r="343">
      <c r="C343" s="13" t="n"/>
      <c r="D343" s="13" t="n"/>
    </row>
    <row r="344">
      <c r="C344" s="13" t="n"/>
      <c r="D344" s="13" t="n"/>
    </row>
    <row r="345">
      <c r="C345" s="13" t="n"/>
      <c r="D345" s="13" t="n"/>
    </row>
    <row r="346">
      <c r="C346" s="13" t="n"/>
      <c r="D346" s="13" t="n"/>
    </row>
    <row r="347">
      <c r="C347" s="13" t="n"/>
      <c r="D347" s="13" t="n"/>
    </row>
    <row r="348">
      <c r="C348" s="13" t="n"/>
      <c r="D348" s="13" t="n"/>
    </row>
    <row r="349">
      <c r="C349" s="13" t="n"/>
      <c r="D349" s="13" t="n"/>
    </row>
    <row r="350">
      <c r="C350" s="13" t="n"/>
      <c r="D350" s="13" t="n"/>
    </row>
    <row r="351">
      <c r="C351" s="13" t="n"/>
      <c r="D351" s="13" t="n"/>
    </row>
    <row r="352">
      <c r="C352" s="13" t="n"/>
      <c r="D352" s="13" t="n"/>
    </row>
    <row r="353">
      <c r="C353" s="13" t="n"/>
      <c r="D353" s="13" t="n"/>
    </row>
    <row r="354">
      <c r="C354" s="13" t="n"/>
      <c r="D354" s="13" t="n"/>
    </row>
    <row r="355">
      <c r="C355" s="13" t="n"/>
      <c r="D355" s="13" t="n"/>
    </row>
    <row r="356">
      <c r="C356" s="13" t="n"/>
      <c r="D356" s="13" t="n"/>
    </row>
    <row r="357">
      <c r="C357" s="13" t="n"/>
      <c r="D357" s="13" t="n"/>
    </row>
    <row r="358">
      <c r="C358" s="13" t="n"/>
      <c r="D358" s="13" t="n"/>
    </row>
    <row r="359">
      <c r="C359" s="13" t="n"/>
      <c r="D359" s="13" t="n"/>
    </row>
    <row r="360">
      <c r="C360" s="13" t="n"/>
      <c r="D360" s="13" t="n"/>
    </row>
    <row r="361">
      <c r="C361" s="13" t="n"/>
      <c r="D361" s="13" t="n"/>
    </row>
    <row r="362">
      <c r="C362" s="13" t="n"/>
      <c r="D362" s="13" t="n"/>
    </row>
    <row r="363">
      <c r="C363" s="13" t="n"/>
      <c r="D363" s="13" t="n"/>
    </row>
    <row r="364">
      <c r="C364" s="13" t="n"/>
      <c r="D364" s="13" t="n"/>
    </row>
    <row r="365">
      <c r="C365" s="13" t="n"/>
      <c r="D365" s="13" t="n"/>
    </row>
    <row r="366">
      <c r="C366" s="13" t="n"/>
      <c r="D366" s="13" t="n"/>
    </row>
    <row r="367">
      <c r="C367" s="13" t="n"/>
      <c r="D367" s="13" t="n"/>
    </row>
    <row r="368">
      <c r="C368" s="13" t="n"/>
      <c r="D368" s="13" t="n"/>
    </row>
    <row r="369">
      <c r="C369" s="13" t="n"/>
      <c r="D369" s="13" t="n"/>
    </row>
    <row r="370">
      <c r="C370" s="13" t="n"/>
      <c r="D370" s="13" t="n"/>
    </row>
    <row r="371">
      <c r="C371" s="13" t="n"/>
      <c r="D371" s="13" t="n"/>
    </row>
    <row r="372">
      <c r="C372" s="13" t="n"/>
      <c r="D372" s="13" t="n"/>
    </row>
    <row r="373">
      <c r="C373" s="13" t="n"/>
      <c r="D373" s="13" t="n"/>
    </row>
    <row r="374">
      <c r="C374" s="13" t="n"/>
      <c r="D374" s="13" t="n"/>
    </row>
    <row r="375">
      <c r="C375" s="13" t="n"/>
      <c r="D375" s="13" t="n"/>
    </row>
    <row r="376">
      <c r="C376" s="13" t="n"/>
      <c r="D376" s="13" t="n"/>
    </row>
    <row r="377">
      <c r="C377" s="13" t="n"/>
      <c r="D377" s="13" t="n"/>
    </row>
    <row r="378">
      <c r="C378" s="13" t="n"/>
      <c r="D378" s="13" t="n"/>
    </row>
    <row r="379">
      <c r="C379" s="13" t="n"/>
      <c r="D379" s="13" t="n"/>
    </row>
    <row r="380">
      <c r="C380" s="13" t="n"/>
      <c r="D380" s="13" t="n"/>
    </row>
    <row r="381">
      <c r="C381" s="13" t="n"/>
      <c r="D381" s="13" t="n"/>
    </row>
    <row r="382">
      <c r="C382" s="13" t="n"/>
      <c r="D382" s="13" t="n"/>
    </row>
    <row r="383">
      <c r="C383" s="13" t="n"/>
      <c r="D383" s="13" t="n"/>
    </row>
    <row r="384">
      <c r="C384" s="13" t="n"/>
      <c r="D384" s="13" t="n"/>
    </row>
    <row r="385">
      <c r="C385" s="13" t="n"/>
      <c r="D385" s="13" t="n"/>
    </row>
    <row r="386">
      <c r="C386" s="13" t="n"/>
      <c r="D386" s="13" t="n"/>
    </row>
    <row r="387">
      <c r="C387" s="13" t="n"/>
      <c r="D387" s="13" t="n"/>
    </row>
    <row r="388">
      <c r="C388" s="13" t="n"/>
      <c r="D388" s="13" t="n"/>
    </row>
    <row r="389">
      <c r="C389" s="13" t="n"/>
      <c r="D389" s="13" t="n"/>
    </row>
    <row r="390">
      <c r="C390" s="13" t="n"/>
      <c r="D390" s="13" t="n"/>
    </row>
    <row r="391">
      <c r="C391" s="13" t="n"/>
      <c r="D391" s="13" t="n"/>
    </row>
    <row r="392">
      <c r="C392" s="13" t="n"/>
      <c r="D392" s="13" t="n"/>
    </row>
    <row r="393">
      <c r="C393" s="13" t="n"/>
      <c r="D393" s="13" t="n"/>
    </row>
    <row r="394">
      <c r="C394" s="13" t="n"/>
      <c r="D394" s="13" t="n"/>
    </row>
    <row r="395">
      <c r="C395" s="13" t="n"/>
      <c r="D395" s="13" t="n"/>
    </row>
    <row r="396">
      <c r="C396" s="13" t="n"/>
      <c r="D396" s="13" t="n"/>
    </row>
    <row r="397">
      <c r="C397" s="13" t="n"/>
      <c r="D397" s="13" t="n"/>
    </row>
    <row r="398">
      <c r="C398" s="13" t="n"/>
      <c r="D398" s="13" t="n"/>
    </row>
    <row r="399">
      <c r="C399" s="13" t="n"/>
      <c r="D399" s="13" t="n"/>
    </row>
    <row r="400">
      <c r="C400" s="13" t="n"/>
      <c r="D400" s="13" t="n"/>
    </row>
    <row r="401">
      <c r="C401" s="13" t="n"/>
      <c r="D401" s="13" t="n"/>
    </row>
    <row r="402">
      <c r="C402" s="13" t="n"/>
      <c r="D402" s="13" t="n"/>
    </row>
    <row r="403">
      <c r="C403" s="13" t="n"/>
      <c r="D403" s="13" t="n"/>
    </row>
    <row r="404">
      <c r="C404" s="13" t="n"/>
      <c r="D404" s="13" t="n"/>
    </row>
    <row r="405">
      <c r="C405" s="13" t="n"/>
      <c r="D405" s="13" t="n"/>
    </row>
    <row r="406">
      <c r="C406" s="13" t="n"/>
      <c r="D406" s="13" t="n"/>
    </row>
    <row r="407">
      <c r="C407" s="13" t="n"/>
      <c r="D407" s="13" t="n"/>
    </row>
    <row r="408">
      <c r="C408" s="13" t="n"/>
      <c r="D408" s="13" t="n"/>
    </row>
    <row r="409">
      <c r="C409" s="13" t="n"/>
      <c r="D409" s="13" t="n"/>
    </row>
    <row r="410">
      <c r="C410" s="13" t="n"/>
      <c r="D410" s="13" t="n"/>
    </row>
    <row r="411">
      <c r="C411" s="13" t="n"/>
      <c r="D411" s="13" t="n"/>
    </row>
    <row r="412">
      <c r="C412" s="13" t="n"/>
      <c r="D412" s="13" t="n"/>
    </row>
    <row r="413">
      <c r="C413" s="13" t="n"/>
      <c r="D413" s="13" t="n"/>
    </row>
    <row r="414">
      <c r="C414" s="13" t="n"/>
      <c r="D414" s="13" t="n"/>
    </row>
    <row r="415">
      <c r="C415" s="13" t="n"/>
      <c r="D415" s="13" t="n"/>
    </row>
    <row r="416">
      <c r="C416" s="13" t="n"/>
      <c r="D416" s="13" t="n"/>
    </row>
    <row r="417">
      <c r="C417" s="13" t="n"/>
      <c r="D417" s="13" t="n"/>
    </row>
    <row r="418">
      <c r="C418" s="13" t="n"/>
      <c r="D418" s="13" t="n"/>
    </row>
    <row r="419">
      <c r="C419" s="13" t="n"/>
      <c r="D419" s="13" t="n"/>
    </row>
    <row r="420">
      <c r="C420" s="13" t="n"/>
      <c r="D420" s="13" t="n"/>
    </row>
    <row r="421">
      <c r="C421" s="13" t="n"/>
      <c r="D421" s="13" t="n"/>
    </row>
    <row r="422">
      <c r="C422" s="13" t="n"/>
      <c r="D422" s="13" t="n"/>
    </row>
    <row r="423">
      <c r="C423" s="13" t="n"/>
      <c r="D423" s="13" t="n"/>
    </row>
    <row r="424">
      <c r="C424" s="13" t="n"/>
      <c r="D424" s="13" t="n"/>
    </row>
    <row r="425">
      <c r="C425" s="13" t="n"/>
      <c r="D425" s="13" t="n"/>
    </row>
    <row r="426">
      <c r="C426" s="13" t="n"/>
      <c r="D426" s="13" t="n"/>
    </row>
    <row r="427">
      <c r="C427" s="13" t="n"/>
      <c r="D427" s="13" t="n"/>
    </row>
    <row r="428">
      <c r="C428" s="13" t="n"/>
      <c r="D428" s="13" t="n"/>
    </row>
    <row r="429">
      <c r="C429" s="13" t="n"/>
      <c r="D429" s="13" t="n"/>
    </row>
    <row r="430">
      <c r="C430" s="13" t="n"/>
      <c r="D430" s="13" t="n"/>
    </row>
    <row r="431">
      <c r="C431" s="13" t="n"/>
      <c r="D431" s="13" t="n"/>
    </row>
    <row r="432">
      <c r="C432" s="13" t="n"/>
      <c r="D432" s="13" t="n"/>
    </row>
    <row r="433">
      <c r="C433" s="13" t="n"/>
      <c r="D433" s="13" t="n"/>
    </row>
    <row r="434">
      <c r="C434" s="13" t="n"/>
      <c r="D434" s="13" t="n"/>
    </row>
    <row r="435">
      <c r="C435" s="13" t="n"/>
      <c r="D435" s="13" t="n"/>
    </row>
    <row r="436">
      <c r="C436" s="13" t="n"/>
      <c r="D436" s="13" t="n"/>
    </row>
    <row r="437">
      <c r="C437" s="13" t="n"/>
      <c r="D437" s="13" t="n"/>
    </row>
    <row r="438">
      <c r="C438" s="13" t="n"/>
      <c r="D438" s="13" t="n"/>
    </row>
    <row r="439">
      <c r="C439" s="13" t="n"/>
      <c r="D439" s="13" t="n"/>
    </row>
    <row r="440">
      <c r="C440" s="13" t="n"/>
      <c r="D440" s="13" t="n"/>
    </row>
    <row r="441">
      <c r="C441" s="13" t="n"/>
      <c r="D441" s="13" t="n"/>
    </row>
    <row r="442">
      <c r="C442" s="13" t="n"/>
      <c r="D442" s="13" t="n"/>
    </row>
    <row r="443">
      <c r="C443" s="13" t="n"/>
      <c r="D443" s="13" t="n"/>
    </row>
    <row r="444">
      <c r="C444" s="13" t="n"/>
      <c r="D444" s="13" t="n"/>
    </row>
    <row r="445">
      <c r="C445" s="13" t="n"/>
      <c r="D445" s="13" t="n"/>
    </row>
    <row r="446">
      <c r="C446" s="13" t="n"/>
      <c r="D446" s="13" t="n"/>
    </row>
    <row r="447">
      <c r="C447" s="13" t="n"/>
      <c r="D447" s="13" t="n"/>
    </row>
    <row r="448">
      <c r="C448" s="13" t="n"/>
      <c r="D448" s="13" t="n"/>
    </row>
    <row r="449">
      <c r="C449" s="13" t="n"/>
      <c r="D449" s="13" t="n"/>
    </row>
    <row r="450">
      <c r="C450" s="13" t="n"/>
      <c r="D450" s="13" t="n"/>
    </row>
    <row r="451">
      <c r="C451" s="13" t="n"/>
      <c r="D451" s="13" t="n"/>
    </row>
    <row r="452">
      <c r="C452" s="13" t="n"/>
      <c r="D452" s="13" t="n"/>
    </row>
    <row r="453">
      <c r="C453" s="13" t="n"/>
      <c r="D453" s="13" t="n"/>
    </row>
    <row r="454">
      <c r="C454" s="13" t="n"/>
      <c r="D454" s="13" t="n"/>
    </row>
    <row r="455">
      <c r="C455" s="13" t="n"/>
      <c r="D455" s="13" t="n"/>
    </row>
    <row r="456">
      <c r="C456" s="13" t="n"/>
      <c r="D456" s="13" t="n"/>
    </row>
    <row r="457">
      <c r="C457" s="13" t="n"/>
      <c r="D457" s="13" t="n"/>
    </row>
    <row r="458">
      <c r="C458" s="13" t="n"/>
      <c r="D458" s="13" t="n"/>
    </row>
    <row r="459">
      <c r="C459" s="13" t="n"/>
      <c r="D459" s="13" t="n"/>
    </row>
    <row r="460">
      <c r="C460" s="13" t="n"/>
      <c r="D460" s="13" t="n"/>
    </row>
    <row r="461">
      <c r="C461" s="13" t="n"/>
      <c r="D461" s="13" t="n"/>
    </row>
    <row r="462">
      <c r="C462" s="13" t="n"/>
      <c r="D462" s="13" t="n"/>
    </row>
    <row r="463">
      <c r="C463" s="13" t="n"/>
      <c r="D463" s="13" t="n"/>
    </row>
    <row r="464">
      <c r="C464" s="13" t="n"/>
      <c r="D464" s="13" t="n"/>
    </row>
    <row r="465">
      <c r="C465" s="13" t="n"/>
      <c r="D465" s="13" t="n"/>
    </row>
    <row r="466">
      <c r="C466" s="13" t="n"/>
      <c r="D466" s="13" t="n"/>
    </row>
    <row r="467">
      <c r="C467" s="13" t="n"/>
      <c r="D467" s="13" t="n"/>
    </row>
    <row r="468">
      <c r="C468" s="13" t="n"/>
      <c r="D468" s="13" t="n"/>
    </row>
    <row r="469">
      <c r="C469" s="13" t="n"/>
      <c r="D469" s="13" t="n"/>
    </row>
    <row r="470">
      <c r="C470" s="13" t="n"/>
      <c r="D470" s="13" t="n"/>
    </row>
    <row r="471">
      <c r="C471" s="13" t="n"/>
      <c r="D471" s="13" t="n"/>
    </row>
    <row r="472">
      <c r="C472" s="13" t="n"/>
      <c r="D472" s="13" t="n"/>
    </row>
    <row r="473">
      <c r="C473" s="13" t="n"/>
      <c r="D473" s="13" t="n"/>
    </row>
    <row r="474">
      <c r="C474" s="13" t="n"/>
      <c r="D474" s="13" t="n"/>
    </row>
    <row r="475">
      <c r="C475" s="13" t="n"/>
      <c r="D475" s="13" t="n"/>
    </row>
    <row r="476">
      <c r="C476" s="13" t="n"/>
      <c r="D476" s="13" t="n"/>
    </row>
    <row r="477">
      <c r="C477" s="13" t="n"/>
      <c r="D477" s="13" t="n"/>
    </row>
    <row r="478">
      <c r="C478" s="13" t="n"/>
      <c r="D478" s="13" t="n"/>
    </row>
    <row r="479">
      <c r="C479" s="13" t="n"/>
      <c r="D479" s="13" t="n"/>
    </row>
    <row r="480">
      <c r="C480" s="13" t="n"/>
      <c r="D480" s="13" t="n"/>
    </row>
    <row r="481">
      <c r="C481" s="13" t="n"/>
      <c r="D481" s="13" t="n"/>
    </row>
    <row r="482">
      <c r="C482" s="13" t="n"/>
      <c r="D482" s="13" t="n"/>
    </row>
    <row r="483">
      <c r="C483" s="13" t="n"/>
      <c r="D483" s="13" t="n"/>
    </row>
    <row r="484">
      <c r="C484" s="13" t="n"/>
      <c r="D484" s="13" t="n"/>
    </row>
    <row r="485">
      <c r="C485" s="13" t="n"/>
      <c r="D485" s="13" t="n"/>
    </row>
    <row r="486">
      <c r="C486" s="13" t="n"/>
      <c r="D486" s="13" t="n"/>
    </row>
    <row r="487">
      <c r="C487" s="13" t="n"/>
      <c r="D487" s="13" t="n"/>
    </row>
    <row r="488">
      <c r="C488" s="13" t="n"/>
      <c r="D488" s="13" t="n"/>
    </row>
    <row r="489">
      <c r="C489" s="13" t="n"/>
      <c r="D489" s="13" t="n"/>
    </row>
    <row r="490">
      <c r="C490" s="13" t="n"/>
      <c r="D490" s="13" t="n"/>
    </row>
    <row r="491">
      <c r="C491" s="13" t="n"/>
      <c r="D491" s="13" t="n"/>
    </row>
    <row r="492">
      <c r="C492" s="13" t="n"/>
      <c r="D492" s="13" t="n"/>
    </row>
    <row r="493">
      <c r="C493" s="13" t="n"/>
      <c r="D493" s="13" t="n"/>
    </row>
    <row r="494">
      <c r="C494" s="13" t="n"/>
      <c r="D494" s="13" t="n"/>
    </row>
    <row r="495">
      <c r="C495" s="13" t="n"/>
      <c r="D495" s="13" t="n"/>
    </row>
    <row r="496">
      <c r="C496" s="13" t="n"/>
      <c r="D496" s="13" t="n"/>
    </row>
    <row r="497">
      <c r="C497" s="13" t="n"/>
      <c r="D497" s="13" t="n"/>
    </row>
    <row r="498">
      <c r="C498" s="13" t="n"/>
      <c r="D498" s="13" t="n"/>
    </row>
    <row r="499">
      <c r="C499" s="13" t="n"/>
      <c r="D499" s="13" t="n"/>
    </row>
    <row r="500">
      <c r="C500" s="13" t="n"/>
      <c r="D500" s="13" t="n"/>
    </row>
    <row r="501">
      <c r="C501" s="13" t="n"/>
      <c r="D501" s="13" t="n"/>
    </row>
    <row r="502">
      <c r="C502" s="13" t="n"/>
      <c r="D502" s="13" t="n"/>
    </row>
    <row r="503">
      <c r="C503" s="13" t="n"/>
      <c r="D503" s="13" t="n"/>
    </row>
    <row r="504">
      <c r="C504" s="13" t="n"/>
      <c r="D504" s="13" t="n"/>
    </row>
    <row r="505">
      <c r="C505" s="13" t="n"/>
      <c r="D505" s="13" t="n"/>
    </row>
    <row r="506">
      <c r="C506" s="13" t="n"/>
      <c r="D506" s="13" t="n"/>
    </row>
    <row r="507">
      <c r="C507" s="13" t="n"/>
      <c r="D507" s="13" t="n"/>
    </row>
    <row r="508">
      <c r="C508" s="13" t="n"/>
      <c r="D508" s="13" t="n"/>
    </row>
    <row r="509">
      <c r="C509" s="13" t="n"/>
      <c r="D509" s="13" t="n"/>
    </row>
    <row r="510">
      <c r="C510" s="13" t="n"/>
      <c r="D510" s="13" t="n"/>
    </row>
    <row r="511">
      <c r="C511" s="13" t="n"/>
      <c r="D511" s="13" t="n"/>
    </row>
    <row r="512">
      <c r="C512" s="13" t="n"/>
      <c r="D512" s="13" t="n"/>
    </row>
    <row r="513">
      <c r="C513" s="13" t="n"/>
      <c r="D513" s="13" t="n"/>
    </row>
    <row r="514">
      <c r="C514" s="13" t="n"/>
      <c r="D514" s="13" t="n"/>
    </row>
    <row r="515">
      <c r="C515" s="13" t="n"/>
      <c r="D515" s="13" t="n"/>
    </row>
    <row r="516">
      <c r="C516" s="13" t="n"/>
      <c r="D516" s="13" t="n"/>
    </row>
    <row r="517">
      <c r="C517" s="13" t="n"/>
      <c r="D517" s="13" t="n"/>
    </row>
    <row r="518">
      <c r="C518" s="13" t="n"/>
      <c r="D518" s="13" t="n"/>
    </row>
    <row r="519">
      <c r="C519" s="13" t="n"/>
      <c r="D519" s="13" t="n"/>
    </row>
    <row r="520">
      <c r="C520" s="13" t="n"/>
      <c r="D520" s="13" t="n"/>
    </row>
    <row r="521">
      <c r="C521" s="13" t="n"/>
      <c r="D521" s="13" t="n"/>
    </row>
    <row r="522">
      <c r="C522" s="13" t="n"/>
      <c r="D522" s="13" t="n"/>
    </row>
    <row r="523">
      <c r="C523" s="13" t="n"/>
      <c r="D523" s="13" t="n"/>
    </row>
    <row r="524">
      <c r="C524" s="13" t="n"/>
      <c r="D524" s="13" t="n"/>
    </row>
    <row r="525">
      <c r="C525" s="13" t="n"/>
      <c r="D525" s="13" t="n"/>
    </row>
    <row r="526">
      <c r="C526" s="13" t="n"/>
      <c r="D526" s="13" t="n"/>
    </row>
    <row r="527">
      <c r="C527" s="13" t="n"/>
      <c r="D527" s="13" t="n"/>
    </row>
    <row r="528">
      <c r="C528" s="13" t="n"/>
      <c r="D528" s="13" t="n"/>
    </row>
    <row r="529">
      <c r="C529" s="13" t="n"/>
      <c r="D529" s="13" t="n"/>
    </row>
    <row r="530">
      <c r="C530" s="13" t="n"/>
      <c r="D530" s="13" t="n"/>
    </row>
    <row r="531">
      <c r="C531" s="13" t="n"/>
      <c r="D531" s="13" t="n"/>
    </row>
    <row r="532">
      <c r="C532" s="13" t="n"/>
      <c r="D532" s="13" t="n"/>
    </row>
    <row r="533">
      <c r="C533" s="13" t="n"/>
      <c r="D533" s="13" t="n"/>
    </row>
    <row r="534">
      <c r="C534" s="13" t="n"/>
      <c r="D534" s="13" t="n"/>
    </row>
    <row r="535">
      <c r="C535" s="13" t="n"/>
      <c r="D535" s="13" t="n"/>
    </row>
    <row r="536">
      <c r="C536" s="13" t="n"/>
      <c r="D536" s="13" t="n"/>
    </row>
    <row r="537">
      <c r="C537" s="13" t="n"/>
      <c r="D537" s="13" t="n"/>
    </row>
    <row r="538">
      <c r="C538" s="13" t="n"/>
      <c r="D538" s="13" t="n"/>
    </row>
    <row r="539">
      <c r="C539" s="13" t="n"/>
      <c r="D539" s="13" t="n"/>
    </row>
    <row r="540">
      <c r="C540" s="13" t="n"/>
      <c r="D540" s="13" t="n"/>
    </row>
    <row r="541">
      <c r="C541" s="13" t="n"/>
      <c r="D541" s="13" t="n"/>
    </row>
    <row r="542">
      <c r="C542" s="13" t="n"/>
      <c r="D542" s="13" t="n"/>
    </row>
    <row r="543">
      <c r="C543" s="13" t="n"/>
      <c r="D543" s="13" t="n"/>
    </row>
    <row r="544">
      <c r="C544" s="13" t="n"/>
      <c r="D544" s="13" t="n"/>
    </row>
    <row r="545">
      <c r="C545" s="13" t="n"/>
      <c r="D545" s="13" t="n"/>
    </row>
    <row r="546">
      <c r="C546" s="13" t="n"/>
      <c r="D546" s="13" t="n"/>
    </row>
    <row r="547">
      <c r="C547" s="13" t="n"/>
      <c r="D547" s="13" t="n"/>
    </row>
    <row r="548">
      <c r="C548" s="13" t="n"/>
      <c r="D548" s="13" t="n"/>
    </row>
    <row r="549">
      <c r="C549" s="13" t="n"/>
      <c r="D549" s="13" t="n"/>
    </row>
    <row r="550">
      <c r="C550" s="13" t="n"/>
      <c r="D550" s="13" t="n"/>
    </row>
    <row r="551">
      <c r="C551" s="13" t="n"/>
      <c r="D551" s="13" t="n"/>
    </row>
    <row r="552">
      <c r="C552" s="13" t="n"/>
      <c r="D552" s="13" t="n"/>
    </row>
    <row r="553">
      <c r="C553" s="13" t="n"/>
      <c r="D553" s="13" t="n"/>
    </row>
    <row r="554">
      <c r="C554" s="13" t="n"/>
      <c r="D554" s="13" t="n"/>
    </row>
    <row r="555">
      <c r="C555" s="13" t="n"/>
      <c r="D555" s="13" t="n"/>
    </row>
    <row r="556">
      <c r="C556" s="13" t="n"/>
      <c r="D556" s="13" t="n"/>
    </row>
    <row r="557">
      <c r="C557" s="13" t="n"/>
      <c r="D557" s="13" t="n"/>
    </row>
    <row r="558">
      <c r="C558" s="13" t="n"/>
      <c r="D558" s="13" t="n"/>
    </row>
    <row r="559">
      <c r="C559" s="13" t="n"/>
      <c r="D559" s="13" t="n"/>
    </row>
    <row r="560">
      <c r="C560" s="13" t="n"/>
      <c r="D560" s="13" t="n"/>
    </row>
    <row r="561">
      <c r="C561" s="13" t="n"/>
      <c r="D561" s="13" t="n"/>
    </row>
    <row r="562">
      <c r="C562" s="13" t="n"/>
      <c r="D562" s="13" t="n"/>
    </row>
    <row r="563">
      <c r="C563" s="13" t="n"/>
      <c r="D563" s="13" t="n"/>
    </row>
    <row r="564">
      <c r="C564" s="13" t="n"/>
      <c r="D564" s="13" t="n"/>
    </row>
    <row r="565">
      <c r="C565" s="13" t="n"/>
      <c r="D565" s="13" t="n"/>
    </row>
    <row r="566">
      <c r="C566" s="13" t="n"/>
      <c r="D566" s="13" t="n"/>
    </row>
    <row r="567">
      <c r="C567" s="13" t="n"/>
      <c r="D567" s="13" t="n"/>
    </row>
    <row r="568">
      <c r="C568" s="13" t="n"/>
      <c r="D568" s="13" t="n"/>
    </row>
    <row r="569">
      <c r="C569" s="13" t="n"/>
      <c r="D569" s="13" t="n"/>
    </row>
    <row r="570">
      <c r="C570" s="13" t="n"/>
      <c r="D570" s="13" t="n"/>
    </row>
    <row r="571">
      <c r="C571" s="13" t="n"/>
      <c r="D571" s="13" t="n"/>
    </row>
    <row r="572">
      <c r="C572" s="13" t="n"/>
      <c r="D572" s="13" t="n"/>
    </row>
    <row r="573">
      <c r="C573" s="13" t="n"/>
      <c r="D573" s="13" t="n"/>
    </row>
    <row r="574">
      <c r="C574" s="13" t="n"/>
      <c r="D574" s="13" t="n"/>
    </row>
    <row r="575">
      <c r="C575" s="13" t="n"/>
      <c r="D575" s="13" t="n"/>
    </row>
    <row r="576">
      <c r="C576" s="13" t="n"/>
      <c r="D576" s="13" t="n"/>
    </row>
    <row r="577">
      <c r="C577" s="13" t="n"/>
      <c r="D577" s="13" t="n"/>
    </row>
    <row r="578">
      <c r="C578" s="13" t="n"/>
      <c r="D578" s="13" t="n"/>
    </row>
    <row r="579">
      <c r="C579" s="13" t="n"/>
      <c r="D579" s="13" t="n"/>
    </row>
    <row r="580">
      <c r="C580" s="13" t="n"/>
      <c r="D580" s="13" t="n"/>
    </row>
    <row r="581">
      <c r="C581" s="13" t="n"/>
      <c r="D581" s="13" t="n"/>
    </row>
    <row r="582">
      <c r="C582" s="13" t="n"/>
      <c r="D582" s="13" t="n"/>
    </row>
    <row r="583">
      <c r="C583" s="13" t="n"/>
      <c r="D583" s="13" t="n"/>
    </row>
    <row r="584">
      <c r="C584" s="13" t="n"/>
      <c r="D584" s="13" t="n"/>
    </row>
    <row r="585">
      <c r="C585" s="13" t="n"/>
      <c r="D585" s="13" t="n"/>
    </row>
    <row r="586">
      <c r="C586" s="13" t="n"/>
      <c r="D586" s="13" t="n"/>
    </row>
    <row r="587">
      <c r="C587" s="13" t="n"/>
      <c r="D587" s="13" t="n"/>
    </row>
    <row r="588">
      <c r="C588" s="13" t="n"/>
      <c r="D588" s="13" t="n"/>
    </row>
    <row r="589">
      <c r="C589" s="13" t="n"/>
      <c r="D589" s="13" t="n"/>
    </row>
    <row r="590">
      <c r="C590" s="13" t="n"/>
      <c r="D590" s="13" t="n"/>
    </row>
    <row r="591">
      <c r="C591" s="13" t="n"/>
      <c r="D591" s="13" t="n"/>
    </row>
    <row r="592">
      <c r="C592" s="13" t="n"/>
      <c r="D592" s="13" t="n"/>
    </row>
    <row r="593">
      <c r="C593" s="13" t="n"/>
      <c r="D593" s="13" t="n"/>
    </row>
    <row r="594">
      <c r="C594" s="13" t="n"/>
      <c r="D594" s="13" t="n"/>
    </row>
    <row r="595">
      <c r="C595" s="13" t="n"/>
      <c r="D595" s="13" t="n"/>
    </row>
    <row r="596">
      <c r="C596" s="13" t="n"/>
      <c r="D596" s="13" t="n"/>
    </row>
    <row r="597">
      <c r="C597" s="13" t="n"/>
      <c r="D597" s="13" t="n"/>
    </row>
    <row r="598">
      <c r="C598" s="13" t="n"/>
      <c r="D598" s="13" t="n"/>
    </row>
    <row r="599">
      <c r="C599" s="13" t="n"/>
      <c r="D599" s="13" t="n"/>
    </row>
    <row r="600">
      <c r="C600" s="13" t="n"/>
      <c r="D600" s="13" t="n"/>
    </row>
    <row r="601">
      <c r="C601" s="13" t="n"/>
      <c r="D601" s="13" t="n"/>
    </row>
    <row r="602">
      <c r="C602" s="13" t="n"/>
      <c r="D602" s="13" t="n"/>
    </row>
    <row r="603">
      <c r="C603" s="13" t="n"/>
      <c r="D603" s="13" t="n"/>
    </row>
    <row r="604">
      <c r="C604" s="13" t="n"/>
      <c r="D604" s="13" t="n"/>
    </row>
    <row r="605">
      <c r="C605" s="13" t="n"/>
      <c r="D605" s="13" t="n"/>
    </row>
    <row r="606">
      <c r="C606" s="13" t="n"/>
      <c r="D606" s="13" t="n"/>
    </row>
    <row r="607">
      <c r="C607" s="13" t="n"/>
      <c r="D607" s="13" t="n"/>
    </row>
    <row r="608">
      <c r="C608" s="13" t="n"/>
      <c r="D608" s="13" t="n"/>
    </row>
    <row r="609">
      <c r="C609" s="13" t="n"/>
      <c r="D609" s="13" t="n"/>
    </row>
    <row r="610">
      <c r="C610" s="13" t="n"/>
      <c r="D610" s="13" t="n"/>
    </row>
    <row r="611">
      <c r="C611" s="13" t="n"/>
      <c r="D611" s="13" t="n"/>
    </row>
    <row r="612">
      <c r="C612" s="13" t="n"/>
      <c r="D612" s="13" t="n"/>
    </row>
    <row r="613">
      <c r="C613" s="13" t="n"/>
      <c r="D613" s="13" t="n"/>
    </row>
    <row r="614">
      <c r="C614" s="13" t="n"/>
      <c r="D614" s="13" t="n"/>
    </row>
    <row r="615">
      <c r="C615" s="13" t="n"/>
      <c r="D615" s="13" t="n"/>
    </row>
    <row r="616">
      <c r="C616" s="13" t="n"/>
      <c r="D616" s="13" t="n"/>
    </row>
    <row r="617">
      <c r="C617" s="13" t="n"/>
      <c r="D617" s="13" t="n"/>
    </row>
    <row r="618">
      <c r="C618" s="13" t="n"/>
      <c r="D618" s="13" t="n"/>
    </row>
    <row r="619">
      <c r="C619" s="13" t="n"/>
      <c r="D619" s="13" t="n"/>
    </row>
    <row r="620">
      <c r="C620" s="13" t="n"/>
      <c r="D620" s="13" t="n"/>
    </row>
    <row r="621">
      <c r="C621" s="13" t="n"/>
      <c r="D621" s="13" t="n"/>
    </row>
    <row r="622">
      <c r="C622" s="13" t="n"/>
      <c r="D622" s="13" t="n"/>
    </row>
    <row r="623">
      <c r="C623" s="13" t="n"/>
      <c r="D623" s="13" t="n"/>
    </row>
    <row r="624">
      <c r="C624" s="13" t="n"/>
      <c r="D624" s="13" t="n"/>
    </row>
    <row r="625">
      <c r="C625" s="13" t="n"/>
      <c r="D625" s="13" t="n"/>
    </row>
    <row r="626">
      <c r="C626" s="13" t="n"/>
      <c r="D626" s="13" t="n"/>
    </row>
    <row r="627">
      <c r="C627" s="13" t="n"/>
      <c r="D627" s="13" t="n"/>
    </row>
    <row r="628">
      <c r="C628" s="13" t="n"/>
      <c r="D628" s="13" t="n"/>
    </row>
    <row r="629">
      <c r="C629" s="13" t="n"/>
      <c r="D629" s="13" t="n"/>
    </row>
    <row r="630">
      <c r="C630" s="13" t="n"/>
      <c r="D630" s="13" t="n"/>
    </row>
    <row r="631">
      <c r="C631" s="13" t="n"/>
      <c r="D631" s="13" t="n"/>
    </row>
    <row r="632">
      <c r="C632" s="13" t="n"/>
      <c r="D632" s="13" t="n"/>
    </row>
    <row r="633">
      <c r="C633" s="13" t="n"/>
      <c r="D633" s="13" t="n"/>
    </row>
    <row r="634">
      <c r="C634" s="13" t="n"/>
      <c r="D634" s="13" t="n"/>
    </row>
    <row r="635">
      <c r="C635" s="13" t="n"/>
      <c r="D635" s="13" t="n"/>
    </row>
    <row r="636">
      <c r="C636" s="13" t="n"/>
      <c r="D636" s="13" t="n"/>
    </row>
    <row r="637">
      <c r="C637" s="13" t="n"/>
      <c r="D637" s="13" t="n"/>
    </row>
    <row r="638">
      <c r="C638" s="13" t="n"/>
      <c r="D638" s="13" t="n"/>
    </row>
    <row r="639">
      <c r="C639" s="13" t="n"/>
      <c r="D639" s="13" t="n"/>
    </row>
    <row r="640">
      <c r="C640" s="13" t="n"/>
      <c r="D640" s="13" t="n"/>
    </row>
    <row r="641">
      <c r="C641" s="13" t="n"/>
      <c r="D641" s="13" t="n"/>
    </row>
    <row r="642">
      <c r="C642" s="13" t="n"/>
      <c r="D642" s="13" t="n"/>
    </row>
    <row r="643">
      <c r="C643" s="13" t="n"/>
      <c r="D643" s="13" t="n"/>
    </row>
    <row r="644">
      <c r="C644" s="13" t="n"/>
      <c r="D644" s="13" t="n"/>
    </row>
    <row r="645">
      <c r="C645" s="13" t="n"/>
      <c r="D645" s="13" t="n"/>
    </row>
    <row r="646">
      <c r="C646" s="13" t="n"/>
      <c r="D646" s="13" t="n"/>
    </row>
    <row r="647">
      <c r="C647" s="13" t="n"/>
      <c r="D647" s="13" t="n"/>
    </row>
    <row r="648">
      <c r="C648" s="13" t="n"/>
      <c r="D648" s="13" t="n"/>
    </row>
    <row r="649">
      <c r="C649" s="13" t="n"/>
      <c r="D649" s="13" t="n"/>
    </row>
    <row r="650">
      <c r="C650" s="13" t="n"/>
      <c r="D650" s="13" t="n"/>
    </row>
    <row r="651">
      <c r="C651" s="13" t="n"/>
      <c r="D651" s="13" t="n"/>
    </row>
    <row r="652">
      <c r="C652" s="13" t="n"/>
      <c r="D652" s="13" t="n"/>
    </row>
    <row r="653">
      <c r="C653" s="13" t="n"/>
      <c r="D653" s="13" t="n"/>
    </row>
    <row r="654">
      <c r="C654" s="13" t="n"/>
      <c r="D654" s="13" t="n"/>
    </row>
    <row r="655">
      <c r="C655" s="13" t="n"/>
      <c r="D655" s="13" t="n"/>
    </row>
    <row r="656">
      <c r="C656" s="13" t="n"/>
      <c r="D656" s="13" t="n"/>
    </row>
    <row r="657">
      <c r="C657" s="13" t="n"/>
      <c r="D657" s="13" t="n"/>
    </row>
    <row r="658">
      <c r="C658" s="13" t="n"/>
      <c r="D658" s="13" t="n"/>
    </row>
    <row r="659">
      <c r="C659" s="13" t="n"/>
      <c r="D659" s="13" t="n"/>
    </row>
    <row r="660">
      <c r="C660" s="13" t="n"/>
      <c r="D660" s="13" t="n"/>
    </row>
    <row r="661">
      <c r="C661" s="13" t="n"/>
      <c r="D661" s="13" t="n"/>
    </row>
    <row r="662">
      <c r="C662" s="13" t="n"/>
      <c r="D662" s="13" t="n"/>
    </row>
    <row r="663">
      <c r="C663" s="13" t="n"/>
      <c r="D663" s="13" t="n"/>
    </row>
    <row r="664">
      <c r="C664" s="13" t="n"/>
      <c r="D664" s="13" t="n"/>
    </row>
    <row r="665">
      <c r="C665" s="13" t="n"/>
      <c r="D665" s="13" t="n"/>
    </row>
    <row r="666">
      <c r="C666" s="13" t="n"/>
      <c r="D666" s="13" t="n"/>
    </row>
    <row r="667">
      <c r="C667" s="13" t="n"/>
      <c r="D667" s="13" t="n"/>
    </row>
    <row r="668">
      <c r="C668" s="13" t="n"/>
      <c r="D668" s="13" t="n"/>
    </row>
    <row r="669">
      <c r="C669" s="13" t="n"/>
      <c r="D669" s="13" t="n"/>
    </row>
    <row r="670">
      <c r="C670" s="13" t="n"/>
      <c r="D670" s="13" t="n"/>
    </row>
    <row r="671">
      <c r="C671" s="13" t="n"/>
      <c r="D671" s="13" t="n"/>
    </row>
    <row r="672">
      <c r="C672" s="13" t="n"/>
      <c r="D672" s="13" t="n"/>
    </row>
    <row r="673">
      <c r="C673" s="13" t="n"/>
      <c r="D673" s="13" t="n"/>
    </row>
    <row r="674">
      <c r="C674" s="13" t="n"/>
      <c r="D674" s="13" t="n"/>
    </row>
    <row r="675">
      <c r="C675" s="13" t="n"/>
      <c r="D675" s="13" t="n"/>
    </row>
    <row r="676">
      <c r="C676" s="13" t="n"/>
      <c r="D676" s="13" t="n"/>
    </row>
    <row r="677">
      <c r="C677" s="13" t="n"/>
      <c r="D677" s="13" t="n"/>
    </row>
    <row r="678">
      <c r="C678" s="13" t="n"/>
      <c r="D678" s="13" t="n"/>
    </row>
    <row r="679">
      <c r="C679" s="13" t="n"/>
      <c r="D679" s="13" t="n"/>
    </row>
    <row r="680">
      <c r="C680" s="13" t="n"/>
      <c r="D680" s="13" t="n"/>
    </row>
    <row r="681">
      <c r="C681" s="13" t="n"/>
      <c r="D681" s="13" t="n"/>
    </row>
    <row r="682">
      <c r="C682" s="13" t="n"/>
      <c r="D682" s="13" t="n"/>
    </row>
    <row r="683">
      <c r="C683" s="13" t="n"/>
      <c r="D683" s="13" t="n"/>
    </row>
    <row r="684">
      <c r="C684" s="13" t="n"/>
      <c r="D684" s="13" t="n"/>
    </row>
    <row r="685">
      <c r="C685" s="13" t="n"/>
      <c r="D685" s="13" t="n"/>
    </row>
    <row r="686">
      <c r="C686" s="13" t="n"/>
      <c r="D686" s="13" t="n"/>
    </row>
    <row r="687">
      <c r="C687" s="13" t="n"/>
      <c r="D687" s="13" t="n"/>
    </row>
    <row r="688">
      <c r="C688" s="13" t="n"/>
      <c r="D688" s="13" t="n"/>
    </row>
    <row r="689">
      <c r="C689" s="13" t="n"/>
      <c r="D689" s="13" t="n"/>
    </row>
    <row r="690">
      <c r="C690" s="13" t="n"/>
      <c r="D690" s="13" t="n"/>
    </row>
    <row r="691">
      <c r="C691" s="13" t="n"/>
      <c r="D691" s="13" t="n"/>
    </row>
    <row r="692">
      <c r="C692" s="13" t="n"/>
      <c r="D692" s="13" t="n"/>
    </row>
    <row r="693">
      <c r="C693" s="13" t="n"/>
      <c r="D693" s="13" t="n"/>
    </row>
    <row r="694">
      <c r="C694" s="13" t="n"/>
      <c r="D694" s="13" t="n"/>
    </row>
    <row r="695">
      <c r="C695" s="13" t="n"/>
      <c r="D695" s="13" t="n"/>
    </row>
    <row r="696">
      <c r="C696" s="13" t="n"/>
      <c r="D696" s="13" t="n"/>
    </row>
    <row r="697">
      <c r="C697" s="13" t="n"/>
      <c r="D697" s="13" t="n"/>
    </row>
    <row r="698">
      <c r="C698" s="13" t="n"/>
      <c r="D698" s="13" t="n"/>
    </row>
    <row r="699">
      <c r="C699" s="13" t="n"/>
      <c r="D699" s="13" t="n"/>
    </row>
    <row r="700">
      <c r="C700" s="13" t="n"/>
      <c r="D700" s="13" t="n"/>
    </row>
    <row r="701">
      <c r="C701" s="13" t="n"/>
      <c r="D701" s="13" t="n"/>
    </row>
    <row r="702">
      <c r="C702" s="13" t="n"/>
      <c r="D702" s="13" t="n"/>
    </row>
    <row r="703">
      <c r="C703" s="13" t="n"/>
      <c r="D703" s="13" t="n"/>
    </row>
    <row r="704">
      <c r="C704" s="13" t="n"/>
      <c r="D704" s="13" t="n"/>
    </row>
    <row r="705">
      <c r="C705" s="13" t="n"/>
      <c r="D705" s="13" t="n"/>
    </row>
    <row r="706">
      <c r="C706" s="13" t="n"/>
      <c r="D706" s="13" t="n"/>
    </row>
    <row r="707">
      <c r="C707" s="13" t="n"/>
      <c r="D707" s="13" t="n"/>
    </row>
    <row r="708">
      <c r="C708" s="13" t="n"/>
      <c r="D708" s="13" t="n"/>
    </row>
    <row r="709">
      <c r="C709" s="13" t="n"/>
      <c r="D709" s="13" t="n"/>
    </row>
    <row r="710">
      <c r="C710" s="13" t="n"/>
      <c r="D710" s="13" t="n"/>
    </row>
    <row r="711">
      <c r="C711" s="13" t="n"/>
      <c r="D711" s="13" t="n"/>
    </row>
    <row r="712">
      <c r="C712" s="13" t="n"/>
      <c r="D712" s="13" t="n"/>
    </row>
    <row r="713">
      <c r="C713" s="13" t="n"/>
      <c r="D713" s="13" t="n"/>
    </row>
    <row r="714">
      <c r="C714" s="13" t="n"/>
      <c r="D714" s="13" t="n"/>
    </row>
    <row r="715">
      <c r="C715" s="13" t="n"/>
      <c r="D715" s="13" t="n"/>
    </row>
    <row r="716">
      <c r="C716" s="13" t="n"/>
      <c r="D716" s="13" t="n"/>
    </row>
    <row r="717">
      <c r="C717" s="13" t="n"/>
      <c r="D717" s="13" t="n"/>
    </row>
    <row r="718">
      <c r="C718" s="13" t="n"/>
      <c r="D718" s="13" t="n"/>
    </row>
    <row r="719">
      <c r="C719" s="13" t="n"/>
      <c r="D719" s="13" t="n"/>
    </row>
    <row r="720">
      <c r="C720" s="13" t="n"/>
      <c r="D720" s="13" t="n"/>
    </row>
    <row r="721">
      <c r="C721" s="13" t="n"/>
      <c r="D721" s="13" t="n"/>
    </row>
    <row r="722">
      <c r="C722" s="13" t="n"/>
      <c r="D722" s="13" t="n"/>
    </row>
    <row r="723">
      <c r="C723" s="13" t="n"/>
      <c r="D723" s="13" t="n"/>
    </row>
    <row r="724">
      <c r="C724" s="13" t="n"/>
      <c r="D724" s="13" t="n"/>
    </row>
    <row r="725">
      <c r="C725" s="13" t="n"/>
      <c r="D725" s="13" t="n"/>
    </row>
    <row r="726">
      <c r="C726" s="13" t="n"/>
      <c r="D726" s="13" t="n"/>
    </row>
    <row r="727">
      <c r="C727" s="13" t="n"/>
      <c r="D727" s="13" t="n"/>
    </row>
    <row r="728">
      <c r="C728" s="13" t="n"/>
      <c r="D728" s="13" t="n"/>
    </row>
    <row r="729">
      <c r="C729" s="13" t="n"/>
      <c r="D729" s="13" t="n"/>
    </row>
    <row r="730">
      <c r="C730" s="13" t="n"/>
      <c r="D730" s="13" t="n"/>
    </row>
    <row r="731">
      <c r="C731" s="13" t="n"/>
      <c r="D731" s="13" t="n"/>
    </row>
    <row r="732">
      <c r="C732" s="13" t="n"/>
      <c r="D732" s="13" t="n"/>
    </row>
    <row r="733">
      <c r="C733" s="13" t="n"/>
      <c r="D733" s="13" t="n"/>
    </row>
    <row r="734">
      <c r="C734" s="13" t="n"/>
      <c r="D734" s="13" t="n"/>
    </row>
    <row r="735">
      <c r="C735" s="13" t="n"/>
      <c r="D735" s="13" t="n"/>
    </row>
    <row r="736">
      <c r="C736" s="13" t="n"/>
      <c r="D736" s="13" t="n"/>
    </row>
    <row r="737">
      <c r="C737" s="13" t="n"/>
      <c r="D737" s="13" t="n"/>
    </row>
    <row r="738">
      <c r="C738" s="13" t="n"/>
      <c r="D738" s="13" t="n"/>
    </row>
    <row r="739">
      <c r="C739" s="13" t="n"/>
      <c r="D739" s="13" t="n"/>
    </row>
    <row r="740">
      <c r="C740" s="13" t="n"/>
      <c r="D740" s="13" t="n"/>
    </row>
    <row r="741">
      <c r="C741" s="13" t="n"/>
      <c r="D741" s="13" t="n"/>
    </row>
    <row r="742">
      <c r="C742" s="13" t="n"/>
      <c r="D742" s="13" t="n"/>
    </row>
    <row r="743">
      <c r="C743" s="13" t="n"/>
      <c r="D743" s="13" t="n"/>
    </row>
    <row r="744">
      <c r="C744" s="13" t="n"/>
      <c r="D744" s="13" t="n"/>
    </row>
    <row r="745">
      <c r="C745" s="13" t="n"/>
      <c r="D745" s="13" t="n"/>
    </row>
    <row r="746">
      <c r="C746" s="13" t="n"/>
      <c r="D746" s="13" t="n"/>
    </row>
    <row r="747">
      <c r="C747" s="13" t="n"/>
      <c r="D747" s="13" t="n"/>
    </row>
    <row r="748">
      <c r="C748" s="13" t="n"/>
      <c r="D748" s="13" t="n"/>
    </row>
    <row r="749">
      <c r="C749" s="13" t="n"/>
      <c r="D749" s="13" t="n"/>
    </row>
    <row r="750">
      <c r="C750" s="13" t="n"/>
      <c r="D750" s="13" t="n"/>
    </row>
    <row r="751">
      <c r="C751" s="13" t="n"/>
      <c r="D751" s="13" t="n"/>
    </row>
    <row r="752">
      <c r="C752" s="13" t="n"/>
      <c r="D752" s="13" t="n"/>
    </row>
    <row r="753">
      <c r="C753" s="13" t="n"/>
      <c r="D753" s="13" t="n"/>
    </row>
    <row r="754">
      <c r="C754" s="13" t="n"/>
      <c r="D754" s="13" t="n"/>
    </row>
    <row r="755">
      <c r="C755" s="13" t="n"/>
      <c r="D755" s="13" t="n"/>
    </row>
    <row r="756">
      <c r="C756" s="13" t="n"/>
      <c r="D756" s="13" t="n"/>
    </row>
    <row r="757">
      <c r="C757" s="13" t="n"/>
      <c r="D757" s="13" t="n"/>
    </row>
    <row r="758">
      <c r="C758" s="13" t="n"/>
      <c r="D758" s="13" t="n"/>
    </row>
    <row r="759">
      <c r="C759" s="13" t="n"/>
      <c r="D759" s="13" t="n"/>
    </row>
    <row r="760">
      <c r="C760" s="13" t="n"/>
      <c r="D760" s="13" t="n"/>
    </row>
    <row r="761">
      <c r="C761" s="13" t="n"/>
      <c r="D761" s="13" t="n"/>
    </row>
    <row r="762">
      <c r="C762" s="13" t="n"/>
      <c r="D762" s="13" t="n"/>
    </row>
    <row r="763">
      <c r="C763" s="13" t="n"/>
      <c r="D763" s="13" t="n"/>
    </row>
    <row r="764">
      <c r="C764" s="13" t="n"/>
      <c r="D764" s="13" t="n"/>
    </row>
    <row r="765">
      <c r="C765" s="13" t="n"/>
      <c r="D765" s="13" t="n"/>
    </row>
    <row r="766">
      <c r="C766" s="13" t="n"/>
      <c r="D766" s="13" t="n"/>
    </row>
    <row r="767">
      <c r="C767" s="13" t="n"/>
      <c r="D767" s="13" t="n"/>
    </row>
    <row r="768">
      <c r="C768" s="13" t="n"/>
      <c r="D768" s="13" t="n"/>
    </row>
    <row r="769">
      <c r="C769" s="13" t="n"/>
      <c r="D769" s="13" t="n"/>
    </row>
    <row r="770">
      <c r="C770" s="13" t="n"/>
      <c r="D770" s="13" t="n"/>
    </row>
    <row r="771">
      <c r="C771" s="13" t="n"/>
      <c r="D771" s="13" t="n"/>
    </row>
    <row r="772">
      <c r="C772" s="13" t="n"/>
      <c r="D772" s="13" t="n"/>
    </row>
    <row r="773">
      <c r="C773" s="13" t="n"/>
      <c r="D773" s="13" t="n"/>
    </row>
    <row r="774">
      <c r="C774" s="13" t="n"/>
      <c r="D774" s="13" t="n"/>
    </row>
    <row r="775">
      <c r="C775" s="13" t="n"/>
      <c r="D775" s="13" t="n"/>
    </row>
    <row r="776">
      <c r="C776" s="13" t="n"/>
      <c r="D776" s="13" t="n"/>
    </row>
    <row r="777">
      <c r="C777" s="13" t="n"/>
      <c r="D777" s="13" t="n"/>
    </row>
    <row r="778">
      <c r="C778" s="13" t="n"/>
      <c r="D778" s="13" t="n"/>
    </row>
    <row r="779">
      <c r="C779" s="13" t="n"/>
      <c r="D779" s="13" t="n"/>
    </row>
    <row r="780">
      <c r="C780" s="13" t="n"/>
      <c r="D780" s="13" t="n"/>
    </row>
    <row r="781">
      <c r="C781" s="13" t="n"/>
      <c r="D781" s="13" t="n"/>
    </row>
    <row r="782">
      <c r="C782" s="13" t="n"/>
      <c r="D782" s="13" t="n"/>
    </row>
    <row r="783">
      <c r="C783" s="13" t="n"/>
      <c r="D783" s="13" t="n"/>
    </row>
    <row r="784">
      <c r="C784" s="13" t="n"/>
      <c r="D784" s="13" t="n"/>
    </row>
    <row r="785">
      <c r="C785" s="13" t="n"/>
      <c r="D785" s="13" t="n"/>
    </row>
    <row r="786">
      <c r="C786" s="13" t="n"/>
      <c r="D786" s="13" t="n"/>
    </row>
    <row r="787">
      <c r="C787" s="13" t="n"/>
      <c r="D787" s="13" t="n"/>
    </row>
    <row r="788">
      <c r="C788" s="13" t="n"/>
      <c r="D788" s="13" t="n"/>
    </row>
    <row r="789">
      <c r="C789" s="13" t="n"/>
      <c r="D789" s="13" t="n"/>
    </row>
    <row r="790">
      <c r="C790" s="13" t="n"/>
      <c r="D790" s="13" t="n"/>
    </row>
    <row r="791">
      <c r="C791" s="13" t="n"/>
      <c r="D791" s="13" t="n"/>
    </row>
    <row r="792">
      <c r="C792" s="13" t="n"/>
      <c r="D792" s="13" t="n"/>
    </row>
    <row r="793">
      <c r="C793" s="13" t="n"/>
      <c r="D793" s="13" t="n"/>
    </row>
    <row r="794">
      <c r="C794" s="13" t="n"/>
      <c r="D794" s="13" t="n"/>
    </row>
    <row r="795">
      <c r="C795" s="13" t="n"/>
      <c r="D795" s="13" t="n"/>
    </row>
    <row r="796">
      <c r="C796" s="13" t="n"/>
      <c r="D796" s="13" t="n"/>
    </row>
    <row r="797">
      <c r="C797" s="13" t="n"/>
      <c r="D797" s="13" t="n"/>
    </row>
    <row r="798">
      <c r="C798" s="13" t="n"/>
      <c r="D798" s="13" t="n"/>
    </row>
    <row r="799">
      <c r="C799" s="13" t="n"/>
      <c r="D799" s="13" t="n"/>
    </row>
    <row r="800">
      <c r="C800" s="13" t="n"/>
      <c r="D800" s="13" t="n"/>
    </row>
    <row r="801">
      <c r="C801" s="13" t="n"/>
      <c r="D801" s="13" t="n"/>
    </row>
    <row r="802">
      <c r="C802" s="13" t="n"/>
      <c r="D802" s="13" t="n"/>
    </row>
    <row r="803">
      <c r="C803" s="13" t="n"/>
      <c r="D803" s="13" t="n"/>
    </row>
    <row r="804">
      <c r="C804" s="13" t="n"/>
      <c r="D804" s="13" t="n"/>
    </row>
    <row r="805">
      <c r="C805" s="13" t="n"/>
      <c r="D805" s="13" t="n"/>
    </row>
    <row r="806">
      <c r="C806" s="13" t="n"/>
      <c r="D806" s="13" t="n"/>
    </row>
    <row r="807">
      <c r="C807" s="13" t="n"/>
      <c r="D807" s="13" t="n"/>
    </row>
    <row r="808">
      <c r="C808" s="13" t="n"/>
      <c r="D808" s="13" t="n"/>
    </row>
    <row r="809">
      <c r="C809" s="13" t="n"/>
      <c r="D809" s="13" t="n"/>
    </row>
    <row r="810">
      <c r="C810" s="13" t="n"/>
      <c r="D810" s="13" t="n"/>
    </row>
    <row r="811">
      <c r="C811" s="13" t="n"/>
      <c r="D811" s="13" t="n"/>
    </row>
    <row r="812">
      <c r="C812" s="13" t="n"/>
      <c r="D812" s="13" t="n"/>
    </row>
    <row r="813">
      <c r="C813" s="13" t="n"/>
      <c r="D813" s="13" t="n"/>
    </row>
    <row r="814">
      <c r="C814" s="13" t="n"/>
      <c r="D814" s="13" t="n"/>
    </row>
    <row r="815">
      <c r="C815" s="13" t="n"/>
      <c r="D815" s="13" t="n"/>
    </row>
    <row r="816">
      <c r="C816" s="13" t="n"/>
      <c r="D816" s="13" t="n"/>
    </row>
    <row r="817">
      <c r="C817" s="13" t="n"/>
      <c r="D817" s="13" t="n"/>
    </row>
    <row r="818">
      <c r="C818" s="13" t="n"/>
      <c r="D818" s="13" t="n"/>
    </row>
    <row r="819">
      <c r="C819" s="13" t="n"/>
      <c r="D819" s="13" t="n"/>
    </row>
    <row r="820">
      <c r="C820" s="13" t="n"/>
      <c r="D820" s="13" t="n"/>
    </row>
    <row r="821">
      <c r="C821" s="13" t="n"/>
      <c r="D821" s="13" t="n"/>
    </row>
    <row r="822">
      <c r="C822" s="13" t="n"/>
      <c r="D822" s="13" t="n"/>
    </row>
    <row r="823">
      <c r="C823" s="13" t="n"/>
      <c r="D823" s="13" t="n"/>
    </row>
    <row r="824">
      <c r="C824" s="13" t="n"/>
      <c r="D824" s="13" t="n"/>
    </row>
    <row r="825">
      <c r="C825" s="13" t="n"/>
      <c r="D825" s="13" t="n"/>
    </row>
    <row r="826">
      <c r="C826" s="13" t="n"/>
      <c r="D826" s="13" t="n"/>
    </row>
    <row r="827">
      <c r="C827" s="13" t="n"/>
      <c r="D827" s="13" t="n"/>
    </row>
    <row r="828">
      <c r="C828" s="13" t="n"/>
      <c r="D828" s="13" t="n"/>
    </row>
    <row r="829">
      <c r="C829" s="13" t="n"/>
      <c r="D829" s="13" t="n"/>
    </row>
    <row r="830">
      <c r="C830" s="13" t="n"/>
      <c r="D830" s="13" t="n"/>
    </row>
    <row r="831">
      <c r="C831" s="13" t="n"/>
      <c r="D831" s="13" t="n"/>
    </row>
    <row r="832">
      <c r="C832" s="13" t="n"/>
      <c r="D832" s="13" t="n"/>
    </row>
    <row r="833">
      <c r="C833" s="13" t="n"/>
      <c r="D833" s="13" t="n"/>
    </row>
    <row r="834">
      <c r="C834" s="13" t="n"/>
      <c r="D834" s="13" t="n"/>
    </row>
    <row r="835">
      <c r="C835" s="13" t="n"/>
      <c r="D835" s="13" t="n"/>
    </row>
    <row r="836">
      <c r="C836" s="13" t="n"/>
      <c r="D836" s="13" t="n"/>
    </row>
    <row r="837">
      <c r="C837" s="13" t="n"/>
      <c r="D837" s="13" t="n"/>
    </row>
    <row r="838">
      <c r="C838" s="13" t="n"/>
      <c r="D838" s="13" t="n"/>
    </row>
    <row r="839">
      <c r="C839" s="13" t="n"/>
      <c r="D839" s="13" t="n"/>
    </row>
    <row r="840">
      <c r="C840" s="13" t="n"/>
      <c r="D840" s="13" t="n"/>
    </row>
    <row r="841">
      <c r="C841" s="13" t="n"/>
      <c r="D841" s="13" t="n"/>
    </row>
    <row r="842">
      <c r="C842" s="13" t="n"/>
      <c r="D842" s="13" t="n"/>
    </row>
    <row r="843">
      <c r="C843" s="13" t="n"/>
      <c r="D843" s="13" t="n"/>
    </row>
    <row r="844">
      <c r="C844" s="13" t="n"/>
      <c r="D844" s="13" t="n"/>
    </row>
    <row r="845">
      <c r="C845" s="13" t="n"/>
      <c r="D845" s="13" t="n"/>
    </row>
    <row r="846">
      <c r="C846" s="13" t="n"/>
      <c r="D846" s="13" t="n"/>
    </row>
    <row r="847">
      <c r="C847" s="13" t="n"/>
      <c r="D847" s="13" t="n"/>
    </row>
    <row r="848">
      <c r="C848" s="13" t="n"/>
      <c r="D848" s="13" t="n"/>
    </row>
    <row r="849">
      <c r="C849" s="13" t="n"/>
      <c r="D849" s="13" t="n"/>
    </row>
    <row r="850">
      <c r="C850" s="13" t="n"/>
      <c r="D850" s="13" t="n"/>
    </row>
    <row r="851">
      <c r="C851" s="13" t="n"/>
      <c r="D851" s="13" t="n"/>
    </row>
    <row r="852">
      <c r="C852" s="13" t="n"/>
      <c r="D852" s="13" t="n"/>
    </row>
    <row r="853">
      <c r="C853" s="13" t="n"/>
      <c r="D853" s="13" t="n"/>
    </row>
    <row r="854">
      <c r="C854" s="13" t="n"/>
      <c r="D854" s="13" t="n"/>
    </row>
    <row r="855">
      <c r="C855" s="13" t="n"/>
      <c r="D855" s="13" t="n"/>
    </row>
    <row r="856">
      <c r="C856" s="13" t="n"/>
      <c r="D856" s="13" t="n"/>
    </row>
    <row r="857">
      <c r="C857" s="13" t="n"/>
      <c r="D857" s="13" t="n"/>
    </row>
    <row r="858">
      <c r="C858" s="13" t="n"/>
      <c r="D858" s="13" t="n"/>
    </row>
    <row r="859">
      <c r="C859" s="13" t="n"/>
      <c r="D859" s="13" t="n"/>
    </row>
    <row r="860">
      <c r="C860" s="13" t="n"/>
      <c r="D860" s="13" t="n"/>
    </row>
    <row r="861">
      <c r="C861" s="13" t="n"/>
      <c r="D861" s="13" t="n"/>
    </row>
    <row r="862">
      <c r="C862" s="13" t="n"/>
      <c r="D862" s="13" t="n"/>
    </row>
    <row r="863">
      <c r="C863" s="13" t="n"/>
      <c r="D863" s="13" t="n"/>
    </row>
    <row r="864">
      <c r="C864" s="13" t="n"/>
      <c r="D864" s="13" t="n"/>
    </row>
    <row r="865">
      <c r="C865" s="13" t="n"/>
      <c r="D865" s="13" t="n"/>
    </row>
    <row r="866">
      <c r="C866" s="13" t="n"/>
      <c r="D866" s="13" t="n"/>
    </row>
    <row r="867">
      <c r="C867" s="13" t="n"/>
      <c r="D867" s="13" t="n"/>
    </row>
    <row r="868">
      <c r="C868" s="13" t="n"/>
      <c r="D868" s="13" t="n"/>
    </row>
    <row r="869">
      <c r="C869" s="13" t="n"/>
      <c r="D869" s="13" t="n"/>
    </row>
    <row r="870">
      <c r="C870" s="13" t="n"/>
      <c r="D870" s="13" t="n"/>
    </row>
    <row r="871">
      <c r="C871" s="13" t="n"/>
      <c r="D871" s="13" t="n"/>
    </row>
    <row r="872">
      <c r="C872" s="13" t="n"/>
      <c r="D872" s="13" t="n"/>
    </row>
    <row r="873">
      <c r="C873" s="13" t="n"/>
      <c r="D873" s="13" t="n"/>
    </row>
    <row r="874">
      <c r="C874" s="13" t="n"/>
      <c r="D874" s="13" t="n"/>
    </row>
    <row r="875">
      <c r="C875" s="13" t="n"/>
      <c r="D875" s="13" t="n"/>
    </row>
    <row r="876">
      <c r="C876" s="13" t="n"/>
      <c r="D876" s="13" t="n"/>
    </row>
    <row r="877">
      <c r="C877" s="13" t="n"/>
      <c r="D877" s="13" t="n"/>
    </row>
    <row r="878">
      <c r="C878" s="13" t="n"/>
      <c r="D878" s="13" t="n"/>
    </row>
    <row r="879">
      <c r="C879" s="13" t="n"/>
      <c r="D879" s="13" t="n"/>
    </row>
    <row r="880">
      <c r="C880" s="13" t="n"/>
      <c r="D880" s="13" t="n"/>
    </row>
    <row r="881">
      <c r="C881" s="13" t="n"/>
      <c r="D881" s="13" t="n"/>
    </row>
    <row r="882">
      <c r="C882" s="13" t="n"/>
      <c r="D882" s="13" t="n"/>
    </row>
    <row r="883">
      <c r="C883" s="13" t="n"/>
      <c r="D883" s="13" t="n"/>
    </row>
    <row r="884">
      <c r="C884" s="13" t="n"/>
      <c r="D884" s="13" t="n"/>
    </row>
    <row r="885">
      <c r="C885" s="13" t="n"/>
      <c r="D885" s="13" t="n"/>
    </row>
    <row r="886">
      <c r="C886" s="13" t="n"/>
      <c r="D886" s="13" t="n"/>
    </row>
    <row r="887">
      <c r="C887" s="13" t="n"/>
      <c r="D887" s="13" t="n"/>
    </row>
    <row r="888">
      <c r="C888" s="13" t="n"/>
      <c r="D888" s="13" t="n"/>
    </row>
    <row r="889">
      <c r="C889" s="13" t="n"/>
      <c r="D889" s="13" t="n"/>
    </row>
    <row r="890">
      <c r="C890" s="13" t="n"/>
      <c r="D890" s="13" t="n"/>
    </row>
    <row r="891">
      <c r="C891" s="13" t="n"/>
      <c r="D891" s="13" t="n"/>
    </row>
    <row r="892">
      <c r="C892" s="13" t="n"/>
      <c r="D892" s="13" t="n"/>
    </row>
    <row r="893">
      <c r="C893" s="13" t="n"/>
      <c r="D893" s="13" t="n"/>
    </row>
    <row r="894">
      <c r="C894" s="13" t="n"/>
      <c r="D894" s="13" t="n"/>
    </row>
    <row r="895">
      <c r="C895" s="13" t="n"/>
      <c r="D895" s="13" t="n"/>
    </row>
    <row r="896">
      <c r="C896" s="13" t="n"/>
      <c r="D896" s="13" t="n"/>
    </row>
    <row r="897">
      <c r="C897" s="13" t="n"/>
      <c r="D897" s="13" t="n"/>
    </row>
    <row r="898">
      <c r="C898" s="13" t="n"/>
      <c r="D898" s="13" t="n"/>
    </row>
    <row r="899">
      <c r="C899" s="13" t="n"/>
      <c r="D899" s="13" t="n"/>
    </row>
    <row r="900">
      <c r="C900" s="13" t="n"/>
      <c r="D900" s="13" t="n"/>
    </row>
    <row r="901">
      <c r="C901" s="13" t="n"/>
      <c r="D901" s="13" t="n"/>
    </row>
    <row r="902">
      <c r="C902" s="13" t="n"/>
      <c r="D902" s="13" t="n"/>
    </row>
    <row r="903">
      <c r="C903" s="13" t="n"/>
      <c r="D903" s="13" t="n"/>
    </row>
    <row r="904">
      <c r="C904" s="13" t="n"/>
      <c r="D904" s="13" t="n"/>
    </row>
    <row r="905">
      <c r="C905" s="13" t="n"/>
      <c r="D905" s="13" t="n"/>
    </row>
    <row r="906">
      <c r="C906" s="13" t="n"/>
      <c r="D906" s="13" t="n"/>
    </row>
    <row r="907">
      <c r="C907" s="13" t="n"/>
      <c r="D907" s="13" t="n"/>
    </row>
    <row r="908">
      <c r="C908" s="13" t="n"/>
      <c r="D908" s="13" t="n"/>
    </row>
    <row r="909">
      <c r="C909" s="13" t="n"/>
      <c r="D909" s="13" t="n"/>
    </row>
    <row r="910">
      <c r="C910" s="13" t="n"/>
      <c r="D910" s="13" t="n"/>
    </row>
    <row r="911">
      <c r="C911" s="13" t="n"/>
      <c r="D911" s="13" t="n"/>
    </row>
    <row r="912">
      <c r="C912" s="13" t="n"/>
      <c r="D912" s="13" t="n"/>
    </row>
    <row r="913">
      <c r="C913" s="13" t="n"/>
      <c r="D913" s="13" t="n"/>
    </row>
    <row r="914">
      <c r="C914" s="13" t="n"/>
      <c r="D914" s="13" t="n"/>
    </row>
    <row r="915">
      <c r="C915" s="13" t="n"/>
      <c r="D915" s="13" t="n"/>
    </row>
    <row r="916">
      <c r="C916" s="13" t="n"/>
      <c r="D916" s="13" t="n"/>
    </row>
    <row r="917">
      <c r="C917" s="13" t="n"/>
      <c r="D917" s="13" t="n"/>
    </row>
    <row r="918">
      <c r="C918" s="13" t="n"/>
      <c r="D918" s="13" t="n"/>
    </row>
    <row r="919">
      <c r="C919" s="13" t="n"/>
      <c r="D919" s="13" t="n"/>
    </row>
    <row r="920">
      <c r="C920" s="13" t="n"/>
      <c r="D920" s="13" t="n"/>
    </row>
    <row r="921">
      <c r="C921" s="13" t="n"/>
      <c r="D921" s="13" t="n"/>
    </row>
    <row r="922">
      <c r="C922" s="13" t="n"/>
      <c r="D922" s="13" t="n"/>
    </row>
    <row r="923">
      <c r="C923" s="13" t="n"/>
      <c r="D923" s="13" t="n"/>
    </row>
    <row r="924">
      <c r="C924" s="13" t="n"/>
      <c r="D924" s="13" t="n"/>
    </row>
    <row r="925">
      <c r="C925" s="13" t="n"/>
      <c r="D925" s="13" t="n"/>
    </row>
    <row r="926">
      <c r="C926" s="13" t="n"/>
      <c r="D926" s="13" t="n"/>
    </row>
    <row r="927">
      <c r="C927" s="13" t="n"/>
      <c r="D927" s="13" t="n"/>
    </row>
    <row r="928">
      <c r="C928" s="13" t="n"/>
      <c r="D928" s="13" t="n"/>
    </row>
    <row r="929">
      <c r="C929" s="13" t="n"/>
      <c r="D929" s="13" t="n"/>
    </row>
    <row r="930">
      <c r="C930" s="13" t="n"/>
      <c r="D930" s="13" t="n"/>
    </row>
    <row r="931">
      <c r="C931" s="13" t="n"/>
      <c r="D931" s="13" t="n"/>
    </row>
    <row r="932">
      <c r="C932" s="13" t="n"/>
      <c r="D932" s="13" t="n"/>
    </row>
    <row r="933">
      <c r="C933" s="13" t="n"/>
      <c r="D933" s="13" t="n"/>
    </row>
    <row r="934">
      <c r="C934" s="13" t="n"/>
      <c r="D934" s="13" t="n"/>
    </row>
    <row r="935">
      <c r="C935" s="13" t="n"/>
      <c r="D935" s="13" t="n"/>
    </row>
    <row r="936">
      <c r="C936" s="13" t="n"/>
      <c r="D936" s="13" t="n"/>
    </row>
    <row r="937">
      <c r="C937" s="13" t="n"/>
      <c r="D937" s="13" t="n"/>
    </row>
    <row r="938">
      <c r="C938" s="13" t="n"/>
      <c r="D938" s="13" t="n"/>
    </row>
    <row r="939">
      <c r="C939" s="13" t="n"/>
      <c r="D939" s="13" t="n"/>
    </row>
    <row r="940">
      <c r="C940" s="13" t="n"/>
      <c r="D940" s="13" t="n"/>
    </row>
    <row r="941">
      <c r="C941" s="13" t="n"/>
      <c r="D941" s="13" t="n"/>
    </row>
    <row r="942">
      <c r="C942" s="13" t="n"/>
      <c r="D942" s="13" t="n"/>
    </row>
    <row r="943">
      <c r="C943" s="13" t="n"/>
      <c r="D943" s="13" t="n"/>
    </row>
    <row r="944">
      <c r="C944" s="13" t="n"/>
      <c r="D944" s="13" t="n"/>
    </row>
    <row r="945">
      <c r="C945" s="13" t="n"/>
      <c r="D945" s="13" t="n"/>
    </row>
    <row r="946">
      <c r="C946" s="13" t="n"/>
      <c r="D946" s="13" t="n"/>
    </row>
    <row r="947">
      <c r="C947" s="13" t="n"/>
      <c r="D947" s="13" t="n"/>
    </row>
    <row r="948">
      <c r="C948" s="13" t="n"/>
      <c r="D948" s="13" t="n"/>
    </row>
    <row r="949">
      <c r="C949" s="13" t="n"/>
      <c r="D949" s="13" t="n"/>
    </row>
    <row r="950">
      <c r="C950" s="13" t="n"/>
      <c r="D950" s="13" t="n"/>
    </row>
    <row r="951">
      <c r="C951" s="13" t="n"/>
      <c r="D951" s="13" t="n"/>
    </row>
    <row r="952">
      <c r="C952" s="13" t="n"/>
      <c r="D952" s="13" t="n"/>
    </row>
    <row r="953">
      <c r="C953" s="13" t="n"/>
      <c r="D953" s="13" t="n"/>
    </row>
    <row r="954">
      <c r="C954" s="13" t="n"/>
      <c r="D954" s="13" t="n"/>
    </row>
    <row r="955">
      <c r="C955" s="13" t="n"/>
      <c r="D955" s="13" t="n"/>
    </row>
    <row r="956">
      <c r="C956" s="13" t="n"/>
      <c r="D956" s="13" t="n"/>
    </row>
    <row r="957">
      <c r="C957" s="13" t="n"/>
      <c r="D957" s="13" t="n"/>
    </row>
    <row r="958">
      <c r="C958" s="13" t="n"/>
      <c r="D958" s="13" t="n"/>
    </row>
    <row r="959">
      <c r="C959" s="13" t="n"/>
      <c r="D959" s="13" t="n"/>
    </row>
    <row r="960">
      <c r="C960" s="13" t="n"/>
      <c r="D960" s="13" t="n"/>
    </row>
    <row r="961">
      <c r="C961" s="13" t="n"/>
      <c r="D961" s="13" t="n"/>
    </row>
    <row r="962">
      <c r="C962" s="13" t="n"/>
      <c r="D962" s="13" t="n"/>
    </row>
    <row r="963">
      <c r="C963" s="13" t="n"/>
      <c r="D963" s="13" t="n"/>
    </row>
    <row r="964">
      <c r="C964" s="13" t="n"/>
      <c r="D964" s="13" t="n"/>
    </row>
    <row r="965">
      <c r="C965" s="13" t="n"/>
      <c r="D965" s="13" t="n"/>
    </row>
    <row r="966">
      <c r="C966" s="13" t="n"/>
      <c r="D966" s="13" t="n"/>
    </row>
    <row r="967">
      <c r="C967" s="13" t="n"/>
      <c r="D967" s="13" t="n"/>
    </row>
    <row r="968">
      <c r="C968" s="13" t="n"/>
      <c r="D968" s="13" t="n"/>
    </row>
    <row r="969">
      <c r="C969" s="13" t="n"/>
      <c r="D969" s="13" t="n"/>
    </row>
    <row r="970">
      <c r="C970" s="13" t="n"/>
      <c r="D970" s="13" t="n"/>
    </row>
    <row r="971">
      <c r="C971" s="13" t="n"/>
      <c r="D971" s="13" t="n"/>
    </row>
    <row r="972">
      <c r="C972" s="13" t="n"/>
      <c r="D972" s="13" t="n"/>
    </row>
    <row r="973">
      <c r="C973" s="13" t="n"/>
      <c r="D973" s="13" t="n"/>
    </row>
    <row r="974">
      <c r="C974" s="13" t="n"/>
      <c r="D974" s="13" t="n"/>
    </row>
    <row r="975">
      <c r="C975" s="13" t="n"/>
      <c r="D975" s="13" t="n"/>
    </row>
    <row r="976">
      <c r="C976" s="13" t="n"/>
      <c r="D976" s="13" t="n"/>
    </row>
    <row r="977">
      <c r="C977" s="13" t="n"/>
      <c r="D977" s="13" t="n"/>
    </row>
    <row r="978">
      <c r="C978" s="13" t="n"/>
      <c r="D978" s="13" t="n"/>
    </row>
    <row r="979">
      <c r="C979" s="13" t="n"/>
      <c r="D979" s="13" t="n"/>
    </row>
    <row r="980">
      <c r="C980" s="13" t="n"/>
      <c r="D980" s="13" t="n"/>
    </row>
    <row r="981">
      <c r="C981" s="13" t="n"/>
      <c r="D981" s="13" t="n"/>
    </row>
    <row r="982">
      <c r="C982" s="13" t="n"/>
      <c r="D982" s="13" t="n"/>
    </row>
    <row r="983">
      <c r="C983" s="13" t="n"/>
      <c r="D983" s="13" t="n"/>
    </row>
    <row r="984">
      <c r="C984" s="13" t="n"/>
      <c r="D984" s="13" t="n"/>
    </row>
    <row r="985">
      <c r="C985" s="13" t="n"/>
      <c r="D985" s="13" t="n"/>
    </row>
    <row r="986">
      <c r="C986" s="13" t="n"/>
      <c r="D986" s="13" t="n"/>
    </row>
    <row r="987">
      <c r="C987" s="13" t="n"/>
      <c r="D987" s="13" t="n"/>
    </row>
    <row r="988">
      <c r="C988" s="13" t="n"/>
      <c r="D988" s="13" t="n"/>
    </row>
    <row r="989">
      <c r="C989" s="13" t="n"/>
      <c r="D989" s="13" t="n"/>
    </row>
    <row r="990">
      <c r="C990" s="13" t="n"/>
      <c r="D990" s="13" t="n"/>
    </row>
    <row r="991">
      <c r="C991" s="13" t="n"/>
      <c r="D991" s="13" t="n"/>
    </row>
    <row r="992">
      <c r="C992" s="13" t="n"/>
      <c r="D992" s="13" t="n"/>
    </row>
    <row r="993">
      <c r="C993" s="13" t="n"/>
      <c r="D993" s="13" t="n"/>
    </row>
    <row r="994">
      <c r="C994" s="13" t="n"/>
      <c r="D994" s="13" t="n"/>
    </row>
    <row r="995">
      <c r="C995" s="13" t="n"/>
      <c r="D995" s="13" t="n"/>
    </row>
    <row r="996">
      <c r="C996" s="13" t="n"/>
      <c r="D996" s="13" t="n"/>
    </row>
    <row r="997">
      <c r="C997" s="13" t="n"/>
      <c r="D997" s="13" t="n"/>
    </row>
    <row r="998">
      <c r="C998" s="13" t="n"/>
      <c r="D998" s="13" t="n"/>
    </row>
    <row r="999">
      <c r="C999" s="13" t="n"/>
      <c r="D999" s="13" t="n"/>
    </row>
    <row r="1000">
      <c r="C1000" s="13" t="n"/>
      <c r="D1000" s="13" t="n"/>
    </row>
    <row r="1001">
      <c r="C1001" s="13" t="n"/>
      <c r="D1001" s="13" t="n"/>
    </row>
    <row r="1002">
      <c r="C1002" s="13" t="n"/>
      <c r="D1002" s="13" t="n"/>
    </row>
    <row r="1003">
      <c r="C1003" s="13" t="n"/>
      <c r="D1003" s="13" t="n"/>
    </row>
    <row r="1004">
      <c r="C1004" s="13" t="n"/>
      <c r="D1004" s="13" t="n"/>
    </row>
    <row r="1005">
      <c r="C1005" s="13" t="n"/>
      <c r="D1005" s="13" t="n"/>
    </row>
    <row r="1006">
      <c r="C1006" s="13" t="n"/>
      <c r="D1006" s="13" t="n"/>
    </row>
    <row r="1007">
      <c r="C1007" s="13" t="n"/>
      <c r="D1007" s="13" t="n"/>
    </row>
    <row r="1008">
      <c r="C1008" s="13" t="n"/>
      <c r="D1008" s="13" t="n"/>
    </row>
    <row r="1009">
      <c r="C1009" s="13" t="n"/>
      <c r="D1009" s="13" t="n"/>
    </row>
    <row r="1010">
      <c r="C1010" s="13" t="n"/>
      <c r="D1010" s="13" t="n"/>
    </row>
    <row r="1011">
      <c r="C1011" s="13" t="n"/>
      <c r="D1011" s="13" t="n"/>
    </row>
    <row r="1012">
      <c r="C1012" s="13" t="n"/>
      <c r="D1012" s="13" t="n"/>
    </row>
    <row r="1013">
      <c r="C1013" s="13" t="n"/>
      <c r="D1013" s="13" t="n"/>
    </row>
    <row r="1014">
      <c r="C1014" s="13" t="n"/>
      <c r="D1014" s="13" t="n"/>
    </row>
    <row r="1015">
      <c r="C1015" s="13" t="n"/>
      <c r="D1015" s="13" t="n"/>
    </row>
    <row r="1016">
      <c r="C1016" s="13" t="n"/>
      <c r="D1016" s="13" t="n"/>
    </row>
    <row r="1017">
      <c r="C1017" s="13" t="n"/>
      <c r="D1017" s="13" t="n"/>
    </row>
    <row r="1018">
      <c r="C1018" s="13" t="n"/>
      <c r="D1018" s="13" t="n"/>
    </row>
    <row r="1019">
      <c r="C1019" s="13" t="n"/>
      <c r="D1019" s="13" t="n"/>
    </row>
    <row r="1020">
      <c r="C1020" s="13" t="n"/>
      <c r="D1020" s="13" t="n"/>
    </row>
    <row r="1021">
      <c r="C1021" s="13" t="n"/>
      <c r="D1021" s="13" t="n"/>
    </row>
    <row r="1022">
      <c r="C1022" s="13" t="n"/>
      <c r="D1022" s="13" t="n"/>
    </row>
    <row r="1023">
      <c r="C1023" s="13" t="n"/>
      <c r="D1023" s="13"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10"/>
  <sheetViews>
    <sheetView workbookViewId="0">
      <selection activeCell="A1" sqref="A1"/>
    </sheetView>
  </sheetViews>
  <sheetFormatPr baseColWidth="8" defaultColWidth="12.63" defaultRowHeight="15.75" customHeight="1"/>
  <cols>
    <col width="9.630000000000001" customWidth="1" style="17" min="1" max="1"/>
    <col width="82.88" customWidth="1" style="17" min="2" max="2"/>
  </cols>
  <sheetData>
    <row r="1">
      <c r="A1" s="3" t="inlineStr">
        <is>
          <t>常時(衛星)</t>
        </is>
      </c>
      <c r="B1" s="3" t="inlineStr">
        <is>
          <t>そのカードを配備している衛星に関して常に発動</t>
        </is>
      </c>
    </row>
    <row r="2">
      <c r="A2" s="3" t="inlineStr">
        <is>
          <t>常時(全体)</t>
        </is>
      </c>
      <c r="B2" s="3" t="inlineStr">
        <is>
          <t>自分に対して常に発動</t>
        </is>
      </c>
    </row>
    <row r="3">
      <c r="A3" s="3" t="inlineStr">
        <is>
          <t>起動</t>
        </is>
      </c>
      <c r="B3" s="3" t="inlineStr">
        <is>
          <t>ラウンド中1度だけ条件を満たした時に発動してもよい効果</t>
        </is>
      </c>
    </row>
    <row r="4">
      <c r="A4" s="3" t="inlineStr">
        <is>
          <t>起動(配備)</t>
        </is>
      </c>
      <c r="B4" s="3" t="inlineStr">
        <is>
          <t>カードを配備したときに起動する効果</t>
        </is>
      </c>
    </row>
    <row r="5">
      <c r="A5" s="3" t="inlineStr">
        <is>
          <t>起動(打上)</t>
        </is>
      </c>
      <c r="B5" s="3" t="inlineStr">
        <is>
          <t>自身の衛星を打ち上げたときに起動する効果</t>
        </is>
      </c>
    </row>
    <row r="6">
      <c r="A6" s="3" t="inlineStr">
        <is>
          <t>起動(着陸)</t>
        </is>
      </c>
      <c r="B6" s="3" t="inlineStr">
        <is>
          <t>自身の衛星が着陸したときに発動する効果</t>
        </is>
      </c>
    </row>
    <row r="7">
      <c r="A7" s="3" t="inlineStr">
        <is>
          <t>配備時</t>
        </is>
      </c>
      <c r="B7" s="3" t="inlineStr">
        <is>
          <t>そのカードを配備したときに発動</t>
        </is>
      </c>
    </row>
    <row r="8">
      <c r="A8" s="3" t="inlineStr">
        <is>
          <t>打ち上げ時</t>
        </is>
      </c>
      <c r="B8" s="3" t="inlineStr">
        <is>
          <t>そのカードを配備している衛星が打ち上げられた時</t>
        </is>
      </c>
    </row>
    <row r="9">
      <c r="A9" s="3" t="inlineStr">
        <is>
          <t>着陸/着水時</t>
        </is>
      </c>
      <c r="B9" s="3" t="inlineStr">
        <is>
          <t>そのカードを配備している衛星が着陸/着水した時</t>
        </is>
      </c>
    </row>
    <row r="10">
      <c r="A10" s="3" t="inlineStr">
        <is>
          <t>保有時</t>
        </is>
      </c>
      <c r="B10" s="3" t="inlineStr">
        <is>
          <t>手札に保有しているとき</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20"/>
  <sheetViews>
    <sheetView workbookViewId="0">
      <selection activeCell="A1" sqref="A1"/>
    </sheetView>
  </sheetViews>
  <sheetFormatPr baseColWidth="8" defaultColWidth="12.63" defaultRowHeight="15.75" customHeight="1"/>
  <sheetData>
    <row r="1">
      <c r="A1" s="3" t="inlineStr">
        <is>
          <t>old</t>
        </is>
      </c>
      <c r="B1" s="3" t="inlineStr">
        <is>
          <t>new</t>
        </is>
      </c>
    </row>
    <row r="2">
      <c r="A2" s="3" t="n"/>
      <c r="B2" s="3" t="inlineStr">
        <is>
          <t>企業</t>
        </is>
      </c>
      <c r="C2" s="3" t="inlineStr">
        <is>
          <t>プレイヤー主体</t>
        </is>
      </c>
    </row>
    <row r="3">
      <c r="A3" s="3" t="inlineStr">
        <is>
          <t>基礎予算発行力</t>
        </is>
      </c>
      <c r="B3" s="3" t="inlineStr">
        <is>
          <t>予算</t>
        </is>
      </c>
    </row>
    <row r="4">
      <c r="A4" s="3" t="inlineStr">
        <is>
          <t>持続力</t>
        </is>
      </c>
      <c r="B4" s="3" t="inlineStr">
        <is>
          <t>稼働力</t>
        </is>
      </c>
    </row>
    <row r="5">
      <c r="A5" s="3" t="inlineStr">
        <is>
          <t>エンジン</t>
        </is>
      </c>
      <c r="B5" s="3" t="inlineStr">
        <is>
          <t>稼働時間</t>
        </is>
      </c>
    </row>
    <row r="6">
      <c r="B6" s="3" t="inlineStr">
        <is>
          <t>陸区域</t>
        </is>
      </c>
    </row>
    <row r="7">
      <c r="B7" s="3" t="inlineStr">
        <is>
          <t>海区域</t>
        </is>
      </c>
    </row>
    <row r="8">
      <c r="B8" s="3" t="inlineStr">
        <is>
          <t>発射地点区域</t>
        </is>
      </c>
    </row>
    <row r="9">
      <c r="A9" s="3" t="inlineStr">
        <is>
          <t>金</t>
        </is>
      </c>
      <c r="B9" s="3" t="inlineStr">
        <is>
          <t>マヤ</t>
        </is>
      </c>
      <c r="C9" s="3" t="inlineStr">
        <is>
          <t>マネー</t>
        </is>
      </c>
    </row>
    <row r="10">
      <c r="A10" s="3" t="inlineStr">
        <is>
          <t>予算発行</t>
        </is>
      </c>
      <c r="B10" s="3" t="inlineStr">
        <is>
          <t>予算発行</t>
        </is>
      </c>
    </row>
    <row r="11">
      <c r="A11" s="3" t="inlineStr">
        <is>
          <t>装備</t>
        </is>
      </c>
      <c r="B11" s="3" t="inlineStr">
        <is>
          <t>配備</t>
        </is>
      </c>
    </row>
    <row r="12">
      <c r="B12" s="3" t="inlineStr">
        <is>
          <t>打ち上げ</t>
        </is>
      </c>
    </row>
    <row r="13">
      <c r="A13" s="3" t="inlineStr">
        <is>
          <t>観測</t>
        </is>
      </c>
      <c r="B13" s="3" t="inlineStr">
        <is>
          <t>通信確立</t>
        </is>
      </c>
    </row>
    <row r="14">
      <c r="B14" s="3" t="inlineStr">
        <is>
          <t>転回</t>
        </is>
      </c>
    </row>
    <row r="15">
      <c r="B15" s="3" t="inlineStr">
        <is>
          <t>企画</t>
        </is>
      </c>
    </row>
    <row r="16">
      <c r="B16" s="3" t="inlineStr">
        <is>
          <t>稼働中</t>
        </is>
      </c>
    </row>
    <row r="17">
      <c r="B17" s="3" t="inlineStr">
        <is>
          <t>待機中</t>
        </is>
      </c>
    </row>
    <row r="18">
      <c r="A18" s="3" t="inlineStr">
        <is>
          <t>ニアミス</t>
        </is>
      </c>
      <c r="B18" s="3" t="inlineStr">
        <is>
          <t>ニアミス</t>
        </is>
      </c>
    </row>
    <row r="19">
      <c r="B19" s="3" t="inlineStr">
        <is>
          <t>北極圏</t>
        </is>
      </c>
      <c r="C19" s="3" t="inlineStr">
        <is>
          <t>一番上の段</t>
        </is>
      </c>
    </row>
    <row r="20">
      <c r="B20" s="3" t="inlineStr">
        <is>
          <t>南極圏</t>
        </is>
      </c>
      <c r="C20" s="3" t="inlineStr">
        <is>
          <t>一番下の段</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75" customHeight="1"/>
  <cols>
    <col width="59.63" customWidth="1" style="17" min="2" max="2"/>
  </cols>
  <sheetData>
    <row r="1">
      <c r="A1" s="3" t="inlineStr">
        <is>
          <t>key</t>
        </is>
      </c>
      <c r="B1" s="3" t="inlineStr">
        <is>
          <t>value</t>
        </is>
      </c>
    </row>
    <row r="2">
      <c r="A2" s="3" t="inlineStr">
        <is>
          <t>image_path</t>
        </is>
      </c>
      <c r="B2" s="3" t="inlineStr">
        <is>
          <t>/Users/zone/Dropbox/danjiri-concerto/project-edgeworth/illustration/images</t>
        </is>
      </c>
    </row>
    <row r="3">
      <c r="A3" s="3" t="inlineStr">
        <is>
          <t>rocket_path</t>
        </is>
      </c>
      <c r="B3" s="3" t="inlineStr">
        <is>
          <t>/Users/zone/Dropbox/danjiri-concerto/project-edgeworth/illustration/rocket</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常時</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5</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10</v>
      </c>
      <c r="I9" s="12" t="n">
        <v>2</v>
      </c>
      <c r="J9" s="12" t="n">
        <v>2</v>
      </c>
      <c r="K9" s="12" t="n"/>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7</v>
      </c>
      <c r="I14" s="9" t="n">
        <v>2</v>
      </c>
      <c r="J14" s="9" t="n">
        <v>2</v>
      </c>
      <c r="K14" s="9" t="n"/>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起動(配備)</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このカードを配備したとき、自分の待機中の衛星のプロジェクトカードを全て好きなように付け替える。ただし、配備時の効果は発動しない。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12</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12</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12</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ROW()-1+33</f>
        <v/>
      </c>
      <c r="B2" s="9">
        <f>"P"&amp;TEXT(A2,"000")</f>
        <v/>
      </c>
      <c r="C2" s="9" t="n">
        <v>0</v>
      </c>
      <c r="D2" s="9" t="n">
        <v>3</v>
      </c>
      <c r="E2" s="9" t="n">
        <v>3</v>
      </c>
      <c r="F2" s="9">
        <f t="array" ref="F2">_xlfn.XLOOKUP(D2,phase!$A$2:$A$9,phase!$C$2:$C$9)</f>
        <v/>
      </c>
      <c r="G2" s="9">
        <f t="array" ref="G2">IF(F2="N",_xlfn.XLOOKUP(E2,phase!$A$2:$A$9,phase!$C$2:$C$9),F2)</f>
        <v/>
      </c>
      <c r="H2" s="9" t="n">
        <v>5</v>
      </c>
      <c r="I2" s="9" t="n">
        <v>2</v>
      </c>
      <c r="J2" s="9" t="n">
        <v>2</v>
      </c>
      <c r="K2" s="9" t="n"/>
      <c r="L2" s="9" t="inlineStr">
        <is>
          <t>打ち上げ時</t>
        </is>
      </c>
      <c r="M2" s="16" t="inlineStr">
        <is>
          <t>この衛星を打ち上げたとき、[マネー]を2/3/4/5支払ってもよい。そうした場合、この衛星は1/2/3/4区域分即座に循環し、該当する燃料を消費する。その際に通過した区域のニアミス判定は行われない</t>
        </is>
      </c>
      <c r="N2" s="9" t="inlineStr">
        <is>
          <t>加速ブースター</t>
        </is>
      </c>
      <c r="O2" s="9" t="n">
        <v>34</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ROW()-1+33</f>
        <v/>
      </c>
      <c r="B3" s="12">
        <f>"P"&amp;TEXT(A3,"000")</f>
        <v/>
      </c>
      <c r="C3" s="12" t="n">
        <v>0</v>
      </c>
      <c r="D3" s="12" t="n">
        <v>3</v>
      </c>
      <c r="E3" s="12" t="n">
        <v>3</v>
      </c>
      <c r="F3" s="12">
        <f t="array" ref="F3">_xlfn.XLOOKUP(D3,phase!$A$2:$A$9,phase!$C$2:$C$9)</f>
        <v/>
      </c>
      <c r="G3" s="12">
        <f t="array" ref="G3">IF(F3="N",_xlfn.XLOOKUP(E3,phase!$A$2:$A$9,phase!$C$2:$C$9),F3)</f>
        <v/>
      </c>
      <c r="H3" s="12" t="n">
        <v>7</v>
      </c>
      <c r="I3" s="12" t="n">
        <v>2</v>
      </c>
      <c r="J3" s="12" t="n">
        <v>0</v>
      </c>
      <c r="K3" s="12" t="n"/>
      <c r="L3" s="12" t="inlineStr">
        <is>
          <t>打ち上げ時</t>
        </is>
      </c>
      <c r="M3" s="15"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 s="12" t="inlineStr">
        <is>
          <t>ギャンブルシステム</t>
        </is>
      </c>
      <c r="O3" s="12" t="n">
        <v>35</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ROW()-1+33</f>
        <v/>
      </c>
      <c r="B4" s="9">
        <f>"P"&amp;TEXT(A4,"000")</f>
        <v/>
      </c>
      <c r="C4" s="9" t="n">
        <v>0</v>
      </c>
      <c r="D4" s="9" t="n">
        <v>3</v>
      </c>
      <c r="E4" s="9" t="n">
        <v>3</v>
      </c>
      <c r="F4" s="9">
        <f t="array" ref="F4">_xlfn.XLOOKUP(D4,phase!$A$2:$A$9,phase!$C$2:$C$9)</f>
        <v/>
      </c>
      <c r="G4" s="9">
        <f t="array" ref="G4">IF(F4="N",_xlfn.XLOOKUP(E4,phase!$A$2:$A$9,phase!$C$2:$C$9),F4)</f>
        <v/>
      </c>
      <c r="H4" s="9" t="n">
        <v>7</v>
      </c>
      <c r="I4" s="9" t="n">
        <v>2</v>
      </c>
      <c r="J4" s="9" t="n">
        <v>2</v>
      </c>
      <c r="K4" s="9" t="n"/>
      <c r="L4" s="9" t="inlineStr">
        <is>
          <t>起動(打上)</t>
        </is>
      </c>
      <c r="M4" s="16" t="inlineStr">
        <is>
          <t>自分の衛星を打ち上げるとき、その衛星に配備されているカード1枚につき打ち上げコスト-1</t>
        </is>
      </c>
      <c r="N4" s="9" t="inlineStr">
        <is>
          <t>軽量化フレーム</t>
        </is>
      </c>
      <c r="O4" s="9" t="n">
        <v>36</v>
      </c>
      <c r="P4" s="9">
        <f>"P"&amp;TEXT(O4,"000")&amp;".png"</f>
        <v/>
      </c>
      <c r="Q4" s="9">
        <f>fix!$B$2 &amp; "/" &amp; P4</f>
        <v/>
      </c>
      <c r="R4" s="9" t="n"/>
      <c r="S4" s="9" t="inlineStr">
        <is>
          <t>スポンサーロゴ</t>
        </is>
      </c>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ROW()-1+33</f>
        <v/>
      </c>
      <c r="B5" s="12">
        <f>"P"&amp;TEXT(A5,"000")</f>
        <v/>
      </c>
      <c r="C5" s="12" t="n">
        <v>0</v>
      </c>
      <c r="D5" s="12" t="n">
        <v>3</v>
      </c>
      <c r="E5" s="12" t="n">
        <v>3</v>
      </c>
      <c r="F5" s="12">
        <f t="array" ref="F5">_xlfn.XLOOKUP(D5,phase!$A$2:$A$9,phase!$C$2:$C$9)</f>
        <v/>
      </c>
      <c r="G5" s="12">
        <f t="array" ref="G5">IF(F5="N",_xlfn.XLOOKUP(E5,phase!$A$2:$A$9,phase!$C$2:$C$9),F5)</f>
        <v/>
      </c>
      <c r="H5" s="12" t="n">
        <v>7</v>
      </c>
      <c r="I5" s="12" t="n">
        <v>3</v>
      </c>
      <c r="J5" s="12" t="n">
        <v>3</v>
      </c>
      <c r="K5" s="12" t="n">
        <v>1</v>
      </c>
      <c r="L5" s="12" t="inlineStr">
        <is>
          <t>起動(転回)</t>
        </is>
      </c>
      <c r="M5" s="15" t="inlineStr">
        <is>
          <t>転回したとき、プロジェクトカードを1枚引く</t>
        </is>
      </c>
      <c r="N5" s="12" t="inlineStr">
        <is>
          <t>姿勢制御装置</t>
        </is>
      </c>
      <c r="O5" s="12" t="n">
        <v>39</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ROW()-1+33</f>
        <v/>
      </c>
      <c r="B6" s="9">
        <f>"P"&amp;TEXT(A6,"000")</f>
        <v/>
      </c>
      <c r="C6" s="9" t="n">
        <v>0</v>
      </c>
      <c r="D6" s="9" t="n">
        <v>3</v>
      </c>
      <c r="E6" s="9" t="n">
        <v>3</v>
      </c>
      <c r="F6" s="9">
        <f t="array" ref="F6">_xlfn.XLOOKUP(D6,phase!$A$2:$A$9,phase!$C$2:$C$9)</f>
        <v/>
      </c>
      <c r="G6" s="9">
        <f t="array" ref="G6">IF(F6="N",_xlfn.XLOOKUP(E6,phase!$A$2:$A$9,phase!$C$2:$C$9),F6)</f>
        <v/>
      </c>
      <c r="H6" s="9" t="n">
        <v>7</v>
      </c>
      <c r="I6" s="9" t="n">
        <v>3</v>
      </c>
      <c r="J6" s="9" t="n">
        <v>3</v>
      </c>
      <c r="K6" s="9" t="n"/>
      <c r="L6" s="9" t="inlineStr">
        <is>
          <t>起動(打上)</t>
        </is>
      </c>
      <c r="M6" s="16" t="inlineStr">
        <is>
          <t>自分の衛星を打ち上げたとき、その衛星の搭載燃料以内で燃料を好きなだけ減らしてもよい。そうした場合、自分の他の稼働中の衛星を1機選び、燃料を減らした分だけその衛星の残燃料を増やす。ただし、搭載燃料を超えて増やすことはできない</t>
        </is>
      </c>
      <c r="N6" s="9" t="inlineStr">
        <is>
          <t>燃料交換管</t>
        </is>
      </c>
      <c r="O6" s="9" t="n">
        <v>40</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ROW()-1+33</f>
        <v/>
      </c>
      <c r="B7" s="12">
        <f>"P"&amp;TEXT(A7,"000")</f>
        <v/>
      </c>
      <c r="C7" s="12" t="n">
        <v>0</v>
      </c>
      <c r="D7" s="12" t="n">
        <v>3</v>
      </c>
      <c r="E7" s="12" t="n">
        <v>3</v>
      </c>
      <c r="F7" s="12">
        <f t="array" ref="F7">_xlfn.XLOOKUP(D7,phase!$A$2:$A$9,phase!$C$2:$C$9)</f>
        <v/>
      </c>
      <c r="G7" s="12">
        <f t="array" ref="G7">IF(F7="N",_xlfn.XLOOKUP(E7,phase!$A$2:$A$9,phase!$C$2:$C$9),F7)</f>
        <v/>
      </c>
      <c r="H7" s="12" t="n">
        <v>9</v>
      </c>
      <c r="I7" s="12" t="n">
        <v>3</v>
      </c>
      <c r="J7" s="12" t="n">
        <v>2</v>
      </c>
      <c r="K7" s="12" t="n"/>
      <c r="L7" s="12" t="inlineStr">
        <is>
          <t>打ち上げ時</t>
        </is>
      </c>
      <c r="M7" s="15" t="inlineStr">
        <is>
          <t>この衛星を打ち上げたとき、この衛星に配備されている[Device]のカードの枚数だけプロジェクトカードを引く</t>
        </is>
      </c>
      <c r="N7" s="12" t="inlineStr">
        <is>
          <t>センサーアレイ</t>
        </is>
      </c>
      <c r="O7" s="12" t="n">
        <v>38</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ROW()-1+33</f>
        <v/>
      </c>
      <c r="B8" s="9">
        <f>"P"&amp;TEXT(A8,"000")</f>
        <v/>
      </c>
      <c r="C8" s="9" t="n">
        <v>0</v>
      </c>
      <c r="D8" s="9" t="n">
        <v>3</v>
      </c>
      <c r="E8" s="9" t="n">
        <v>3</v>
      </c>
      <c r="F8" s="9">
        <f t="array" ref="F8">_xlfn.XLOOKUP(D8,phase!$A$2:$A$9,phase!$C$2:$C$9)</f>
        <v/>
      </c>
      <c r="G8" s="9">
        <f t="array" ref="G8">IF(F8="N",_xlfn.XLOOKUP(E8,phase!$A$2:$A$9,phase!$C$2:$C$9),F8)</f>
        <v/>
      </c>
      <c r="H8" s="9" t="n">
        <v>9</v>
      </c>
      <c r="I8" s="9" t="n">
        <v>3</v>
      </c>
      <c r="J8" s="9" t="n">
        <v>2</v>
      </c>
      <c r="K8" s="9" t="n"/>
      <c r="L8" s="9" t="inlineStr">
        <is>
          <t>常時</t>
        </is>
      </c>
      <c r="M8" s="16" t="inlineStr">
        <is>
          <t>自分の衛星の打ち上げコスト-3</t>
        </is>
      </c>
      <c r="N8" s="9" t="inlineStr">
        <is>
          <t>射出補助装置</t>
        </is>
      </c>
      <c r="O8" s="9" t="n">
        <v>41</v>
      </c>
      <c r="P8" s="9">
        <f>"P"&amp;TEXT(O8,"000")&amp;".png"</f>
        <v/>
      </c>
      <c r="Q8" s="9">
        <f>fix!$B$2 &amp; "/" &amp; P8</f>
        <v/>
      </c>
      <c r="R8" s="9" t="n"/>
      <c r="S8" s="9" t="inlineStr">
        <is>
          <t>ジオメトリックセンサ</t>
        </is>
      </c>
      <c r="T8" s="9" t="n"/>
      <c r="U8" s="9" t="n"/>
      <c r="V8" s="9" t="n"/>
      <c r="W8" s="9" t="n"/>
      <c r="X8" s="9" t="n"/>
      <c r="Y8" s="9" t="n"/>
      <c r="Z8" s="9" t="n"/>
      <c r="AA8" s="9" t="n"/>
      <c r="AB8" s="9" t="n"/>
      <c r="AC8" s="9" t="n"/>
      <c r="AD8" s="9" t="n"/>
      <c r="AE8" s="9" t="n"/>
      <c r="AF8" s="9" t="n"/>
      <c r="AG8" s="9" t="n"/>
      <c r="AH8" s="9" t="n"/>
      <c r="AI8" s="9" t="n"/>
      <c r="AJ8" s="9" t="n"/>
      <c r="AK8" s="9" t="n"/>
      <c r="AL8" s="9" t="n"/>
      <c r="AM8" s="9" t="n"/>
    </row>
    <row r="9">
      <c r="A9" s="12">
        <f>ROW()-1+33</f>
        <v/>
      </c>
      <c r="B9" s="12">
        <f>"P"&amp;TEXT(A9,"000")</f>
        <v/>
      </c>
      <c r="C9" s="12" t="n">
        <v>0</v>
      </c>
      <c r="D9" s="12" t="n">
        <v>3</v>
      </c>
      <c r="E9" s="12" t="n">
        <v>3</v>
      </c>
      <c r="F9" s="12">
        <f t="array" ref="F9">_xlfn.XLOOKUP(D9,phase!$A$2:$A$9,phase!$C$2:$C$9)</f>
        <v/>
      </c>
      <c r="G9" s="12">
        <f t="array" ref="G9">IF(F9="N",_xlfn.XLOOKUP(E9,phase!$A$2:$A$9,phase!$C$2:$C$9),F9)</f>
        <v/>
      </c>
      <c r="H9" s="12" t="n">
        <v>12</v>
      </c>
      <c r="I9" s="12" t="n">
        <v>3</v>
      </c>
      <c r="J9" s="12" t="n">
        <v>1</v>
      </c>
      <c r="K9" s="12" t="n"/>
      <c r="L9" s="12" t="inlineStr">
        <is>
          <t>起動(打上)</t>
        </is>
      </c>
      <c r="M9" s="15" t="inlineStr">
        <is>
          <t>自分の衛星を打ち上げたとき、+1[予算]</t>
        </is>
      </c>
      <c r="N9" s="12" t="inlineStr">
        <is>
          <t>打ち上げ契約装置</t>
        </is>
      </c>
      <c r="O9" s="12" t="n">
        <v>37</v>
      </c>
      <c r="P9" s="12">
        <f>"P"&amp;TEXT(O9,"000")&amp;".png"</f>
        <v/>
      </c>
      <c r="Q9" s="12">
        <f>fix!$B$2 &amp; "/" &amp; P9</f>
        <v/>
      </c>
      <c r="R9" s="12" t="n"/>
      <c r="S9" s="12" t="inlineStr">
        <is>
          <t>投資家</t>
        </is>
      </c>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ROW()-1+33</f>
        <v/>
      </c>
      <c r="B10" s="9">
        <f>"P"&amp;TEXT(A10,"000")</f>
        <v/>
      </c>
      <c r="C10" s="9" t="n">
        <v>0</v>
      </c>
      <c r="D10" s="9" t="n">
        <v>3</v>
      </c>
      <c r="E10" s="9" t="n">
        <v>3</v>
      </c>
      <c r="F10" s="9">
        <f t="array" ref="F10">_xlfn.XLOOKUP(D10,phase!$A$2:$A$9,phase!$C$2:$C$9)</f>
        <v/>
      </c>
      <c r="G10" s="9">
        <f t="array" ref="G10">IF(F10="N",_xlfn.XLOOKUP(E10,phase!$A$2:$A$9,phase!$C$2:$C$9),F10)</f>
        <v/>
      </c>
      <c r="H10" s="9" t="n">
        <v>15</v>
      </c>
      <c r="I10" s="9" t="n">
        <v>3</v>
      </c>
      <c r="J10" s="9" t="n">
        <v>2</v>
      </c>
      <c r="K10" s="9" t="n"/>
      <c r="L10" s="9" t="inlineStr">
        <is>
          <t>打ち上げ時</t>
        </is>
      </c>
      <c r="M10" s="16" t="inlineStr">
        <is>
          <t>この衛星を打ち上げたとき、この衛星に配備されている[Device]のカードの枚数だけ[予算]上昇</t>
        </is>
      </c>
      <c r="N10" s="9" t="inlineStr">
        <is>
          <t>ダンスドッグロボット</t>
        </is>
      </c>
      <c r="O10" s="9" t="n">
        <v>42</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ROW()-1+33</f>
        <v/>
      </c>
      <c r="B11" s="12">
        <f>"P"&amp;TEXT(A11,"000")</f>
        <v/>
      </c>
      <c r="C11" s="12" t="n">
        <v>0</v>
      </c>
      <c r="D11" s="12" t="n">
        <v>7</v>
      </c>
      <c r="E11" s="12" t="n">
        <v>3</v>
      </c>
      <c r="F11" s="12">
        <f t="array" ref="F11">_xlfn.XLOOKUP(D11,phase!$A$2:$A$9,phase!$C$2:$C$9)</f>
        <v/>
      </c>
      <c r="G11" s="12">
        <f t="array" ref="G11">IF(F11="N",_xlfn.XLOOKUP(E11,phase!$A$2:$A$9,phase!$C$2:$C$9),F11)</f>
        <v/>
      </c>
      <c r="H11" s="12" t="n">
        <v>5</v>
      </c>
      <c r="I11" s="12" t="n">
        <v>3</v>
      </c>
      <c r="J11" s="12" t="n">
        <v>2</v>
      </c>
      <c r="K11" s="12" t="n">
        <v>1</v>
      </c>
      <c r="L11" s="12" t="inlineStr">
        <is>
          <t>起動(転回)</t>
        </is>
      </c>
      <c r="M11" s="15" t="inlineStr">
        <is>
          <t>この衛星が転回したとき、燃料を1回復する</t>
        </is>
      </c>
      <c r="N11" s="12" t="inlineStr">
        <is>
          <t>回生推進機</t>
        </is>
      </c>
      <c r="O11" s="12" t="n">
        <v>43</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ROW()-1+33</f>
        <v/>
      </c>
      <c r="B12" s="9">
        <f>"P"&amp;TEXT(A12,"000")</f>
        <v/>
      </c>
      <c r="C12" s="9" t="n">
        <v>0</v>
      </c>
      <c r="D12" s="9" t="n">
        <v>7</v>
      </c>
      <c r="E12" s="9" t="n">
        <v>3</v>
      </c>
      <c r="F12" s="9">
        <f t="array" ref="F12">_xlfn.XLOOKUP(D12,phase!$A$2:$A$9,phase!$C$2:$C$9)</f>
        <v/>
      </c>
      <c r="G12" s="9">
        <f t="array" ref="G12">IF(F12="N",_xlfn.XLOOKUP(E12,phase!$A$2:$A$9,phase!$C$2:$C$9),F12)</f>
        <v/>
      </c>
      <c r="H12" s="9" t="n">
        <v>6</v>
      </c>
      <c r="I12" s="9" t="n">
        <v>3</v>
      </c>
      <c r="J12" s="9" t="n">
        <v>3</v>
      </c>
      <c r="K12" s="9" t="n">
        <v>1</v>
      </c>
      <c r="L12" s="9" t="inlineStr">
        <is>
          <t>起動(転回)</t>
        </is>
      </c>
      <c r="M12" s="16" t="inlineStr">
        <is>
          <t>自分の他の衛星が転回したとき、この衛星は転回してもよい</t>
        </is>
      </c>
      <c r="N12" s="9" t="inlineStr">
        <is>
          <t>編隊同期装置</t>
        </is>
      </c>
      <c r="O12" s="9" t="n">
        <v>44</v>
      </c>
      <c r="P12" s="9">
        <f>"P"&amp;TEXT(O12,"000")&amp;".png"</f>
        <v/>
      </c>
      <c r="Q12" s="9">
        <f>fix!$B$2 &amp; "/" &amp; P12</f>
        <v/>
      </c>
      <c r="R12" s="9" t="n"/>
      <c r="S12" s="9" t="inlineStr">
        <is>
          <t>双子ジェット</t>
        </is>
      </c>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ROW()-1+33</f>
        <v/>
      </c>
      <c r="B13" s="12">
        <f>"P"&amp;TEXT(A13,"000")</f>
        <v/>
      </c>
      <c r="C13" s="12" t="n">
        <v>0</v>
      </c>
      <c r="D13" s="12" t="n">
        <v>7</v>
      </c>
      <c r="E13" s="12" t="n">
        <v>3</v>
      </c>
      <c r="F13" s="12">
        <f t="array" ref="F13">_xlfn.XLOOKUP(D13,phase!$A$2:$A$9,phase!$C$2:$C$9)</f>
        <v/>
      </c>
      <c r="G13" s="12">
        <f t="array" ref="G13">IF(F13="N",_xlfn.XLOOKUP(E13,phase!$A$2:$A$9,phase!$C$2:$C$9),F13)</f>
        <v/>
      </c>
      <c r="H13" s="12" t="n">
        <v>7</v>
      </c>
      <c r="I13" s="12" t="n">
        <v>3</v>
      </c>
      <c r="J13" s="12" t="n">
        <v>2</v>
      </c>
      <c r="K13" s="12" t="n">
        <v>1</v>
      </c>
      <c r="L13" s="12" t="inlineStr">
        <is>
          <t>起動(転回)</t>
        </is>
      </c>
      <c r="M13" s="15" t="inlineStr">
        <is>
          <t>この衛星が転回したとき、配備コストを支払ってプロジェクトカードを1枚この衛星に配備してもよい</t>
        </is>
      </c>
      <c r="N13" s="12" t="inlineStr">
        <is>
          <t>軌道整備ドッグ</t>
        </is>
      </c>
      <c r="O13" s="12" t="n">
        <v>48</v>
      </c>
      <c r="P13" s="12">
        <f>"P"&amp;TEXT(O13,"000")&amp;".png"</f>
        <v/>
      </c>
      <c r="Q13" s="12">
        <f>fix!$B$2 &amp; "/" &amp; P13</f>
        <v/>
      </c>
      <c r="R13" s="12" t="n"/>
      <c r="S13" s="12" t="inlineStr">
        <is>
          <t>ジャイロユニット</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ROW()-1+33</f>
        <v/>
      </c>
      <c r="B14" s="9">
        <f>"P"&amp;TEXT(A14,"000")</f>
        <v/>
      </c>
      <c r="C14" s="9" t="n">
        <v>0</v>
      </c>
      <c r="D14" s="9" t="n">
        <v>7</v>
      </c>
      <c r="E14" s="9" t="n">
        <v>3</v>
      </c>
      <c r="F14" s="9">
        <f t="array" ref="F14">_xlfn.XLOOKUP(D14,phase!$A$2:$A$9,phase!$C$2:$C$9)</f>
        <v/>
      </c>
      <c r="G14" s="9">
        <f t="array" ref="G14">IF(F14="N",_xlfn.XLOOKUP(E14,phase!$A$2:$A$9,phase!$C$2:$C$9),F14)</f>
        <v/>
      </c>
      <c r="H14" s="9" t="n">
        <v>7</v>
      </c>
      <c r="I14" s="9" t="n">
        <v>4</v>
      </c>
      <c r="J14" s="9" t="n">
        <v>5</v>
      </c>
      <c r="K14" s="9" t="n">
        <v>1</v>
      </c>
      <c r="L14" s="9" t="inlineStr">
        <is>
          <t>常時</t>
        </is>
      </c>
      <c r="M14" s="16" t="inlineStr">
        <is>
          <t>この衛星は転回できない</t>
        </is>
      </c>
      <c r="N14" s="9" t="inlineStr">
        <is>
          <t>固定軌道装置</t>
        </is>
      </c>
      <c r="O14" s="9" t="n">
        <v>45</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ROW()-1+33</f>
        <v/>
      </c>
      <c r="B15" s="12">
        <f>"P"&amp;TEXT(A15,"000")</f>
        <v/>
      </c>
      <c r="C15" s="12" t="n">
        <v>0</v>
      </c>
      <c r="D15" s="12" t="n">
        <v>7</v>
      </c>
      <c r="E15" s="12" t="n">
        <v>3</v>
      </c>
      <c r="F15" s="12">
        <f t="array" ref="F15">_xlfn.XLOOKUP(D15,phase!$A$2:$A$9,phase!$C$2:$C$9)</f>
        <v/>
      </c>
      <c r="G15" s="12">
        <f t="array" ref="G15">IF(F15="N",_xlfn.XLOOKUP(E15,phase!$A$2:$A$9,phase!$C$2:$C$9),F15)</f>
        <v/>
      </c>
      <c r="H15" s="12" t="n">
        <v>9</v>
      </c>
      <c r="I15" s="12" t="n">
        <v>3</v>
      </c>
      <c r="J15" s="12" t="n">
        <v>2</v>
      </c>
      <c r="K15" s="12" t="n">
        <v>1</v>
      </c>
      <c r="L15" s="12" t="inlineStr">
        <is>
          <t>起動(転回)</t>
        </is>
      </c>
      <c r="M15" s="15" t="inlineStr">
        <is>
          <t>この衛星が転回したとき、特殊通信確立コスト支払って通信確立してもよい</t>
        </is>
      </c>
      <c r="N15" s="12" t="inlineStr">
        <is>
          <t>トルネードビット</t>
        </is>
      </c>
      <c r="O15" s="12" t="n">
        <v>49</v>
      </c>
      <c r="P15" s="12">
        <f>"P"&amp;TEXT(O15,"000")&amp;".png"</f>
        <v/>
      </c>
      <c r="Q15" s="12">
        <f>fix!$B$2 &amp; "/" &amp; P15</f>
        <v/>
      </c>
      <c r="R15" s="12" t="n"/>
      <c r="S15" s="12" t="inlineStr">
        <is>
          <t>トルネードビット</t>
        </is>
      </c>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ROW()-1+33</f>
        <v/>
      </c>
      <c r="B16" s="9">
        <f>"P"&amp;TEXT(A16,"000")</f>
        <v/>
      </c>
      <c r="C16" s="9" t="n">
        <v>0</v>
      </c>
      <c r="D16" s="9" t="n">
        <v>4</v>
      </c>
      <c r="E16" s="9" t="n">
        <v>4</v>
      </c>
      <c r="F16" s="9">
        <f t="array" ref="F16">_xlfn.XLOOKUP(D16,phase!$A$2:$A$9,phase!$C$2:$C$9)</f>
        <v/>
      </c>
      <c r="G16" s="9">
        <f t="array" ref="G16">IF(F16="N",_xlfn.XLOOKUP(E16,phase!$A$2:$A$9,phase!$C$2:$C$9),F16)</f>
        <v/>
      </c>
      <c r="H16" s="9" t="n">
        <v>5</v>
      </c>
      <c r="I16" s="9" t="n">
        <v>3</v>
      </c>
      <c r="J16" s="9" t="n">
        <v>2</v>
      </c>
      <c r="K16" s="9" t="n">
        <v>1</v>
      </c>
      <c r="L16" s="9" t="inlineStr">
        <is>
          <t>起動(通信確立)</t>
        </is>
      </c>
      <c r="M16" s="16" t="inlineStr">
        <is>
          <t>この衛星が通信確立したとき、転回してもよい</t>
        </is>
      </c>
      <c r="N16" s="9" t="inlineStr">
        <is>
          <t>可変軌道装置</t>
        </is>
      </c>
      <c r="O16" s="9" t="n">
        <v>50</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ROW()-1+33</f>
        <v/>
      </c>
      <c r="B17" s="12">
        <f>"P"&amp;TEXT(A17,"000")</f>
        <v/>
      </c>
      <c r="C17" s="12" t="n">
        <v>0</v>
      </c>
      <c r="D17" s="12" t="n">
        <v>4</v>
      </c>
      <c r="E17" s="12" t="n">
        <v>4</v>
      </c>
      <c r="F17" s="12">
        <f t="array" ref="F17">_xlfn.XLOOKUP(D17,phase!$A$2:$A$9,phase!$C$2:$C$9)</f>
        <v/>
      </c>
      <c r="G17" s="12">
        <f t="array" ref="G17">IF(F17="N",_xlfn.XLOOKUP(E17,phase!$A$2:$A$9,phase!$C$2:$C$9),F17)</f>
        <v/>
      </c>
      <c r="H17" s="12" t="n">
        <v>6</v>
      </c>
      <c r="I17" s="12" t="n">
        <v>2</v>
      </c>
      <c r="J17" s="12" t="n">
        <v>2</v>
      </c>
      <c r="K17" s="12" t="n">
        <v>1</v>
      </c>
      <c r="L17" s="12" t="inlineStr">
        <is>
          <t>起動(通信確立)</t>
        </is>
      </c>
      <c r="M17" s="15" t="inlineStr">
        <is>
          <t>この衛星が通信確立するたび、燃料を1回復する</t>
        </is>
      </c>
      <c r="N17" s="12" t="inlineStr">
        <is>
          <t>太陽電池パネル</t>
        </is>
      </c>
      <c r="O17" s="12" t="n">
        <v>51</v>
      </c>
      <c r="P17" s="12">
        <f>"P"&amp;TEXT(O17,"000")&amp;".png"</f>
        <v/>
      </c>
      <c r="Q17" s="12">
        <f>fix!$B$2 &amp; "/" &amp; P17</f>
        <v/>
      </c>
      <c r="R17" s="12" t="n"/>
      <c r="S17" s="12" t="inlineStr">
        <is>
          <t>中継カメラＣ</t>
        </is>
      </c>
      <c r="T17" s="12" t="inlineStr">
        <is>
          <t>やる気のエンジン</t>
        </is>
      </c>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ROW()-1+33</f>
        <v/>
      </c>
      <c r="B18" s="9">
        <f>"P"&amp;TEXT(A18,"000")</f>
        <v/>
      </c>
      <c r="C18" s="9" t="n">
        <v>0</v>
      </c>
      <c r="D18" s="9" t="n">
        <v>4</v>
      </c>
      <c r="E18" s="9" t="n">
        <v>4</v>
      </c>
      <c r="F18" s="9">
        <f t="array" ref="F18">_xlfn.XLOOKUP(D18,phase!$A$2:$A$9,phase!$C$2:$C$9)</f>
        <v/>
      </c>
      <c r="G18" s="9">
        <f t="array" ref="G18">IF(F18="N",_xlfn.XLOOKUP(E18,phase!$A$2:$A$9,phase!$C$2:$C$9),F18)</f>
        <v/>
      </c>
      <c r="H18" s="9" t="n">
        <v>6</v>
      </c>
      <c r="I18" s="9" t="n">
        <v>3</v>
      </c>
      <c r="J18" s="9" t="n">
        <v>1</v>
      </c>
      <c r="K18" s="9" t="n">
        <v>1</v>
      </c>
      <c r="L18" s="9" t="inlineStr">
        <is>
          <t>起動(通信確立)</t>
        </is>
      </c>
      <c r="M18" s="16" t="inlineStr">
        <is>
          <t>この衛星が地域A,C,Eで通信確立したとき、追加で特殊通信確立コストを支払ってもよい。そうした場合、自分の地域A,C,E内にいる他の衛星を1機選び通信確立する</t>
        </is>
      </c>
      <c r="N18" s="9" t="inlineStr">
        <is>
          <t>欧阿中継ネットワーク</t>
        </is>
      </c>
      <c r="O18" s="9" t="n">
        <v>52</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ROW()-1+33</f>
        <v/>
      </c>
      <c r="B19" s="12">
        <f>"P"&amp;TEXT(A19,"000")</f>
        <v/>
      </c>
      <c r="C19" s="12" t="n">
        <v>0</v>
      </c>
      <c r="D19" s="12" t="n">
        <v>4</v>
      </c>
      <c r="E19" s="12" t="n">
        <v>4</v>
      </c>
      <c r="F19" s="12">
        <f t="array" ref="F19">_xlfn.XLOOKUP(D19,phase!$A$2:$A$9,phase!$C$2:$C$9)</f>
        <v/>
      </c>
      <c r="G19" s="12">
        <f t="array" ref="G19">IF(F19="N",_xlfn.XLOOKUP(E19,phase!$A$2:$A$9,phase!$C$2:$C$9),F19)</f>
        <v/>
      </c>
      <c r="H19" s="12" t="n">
        <v>6</v>
      </c>
      <c r="I19" s="12" t="n">
        <v>3</v>
      </c>
      <c r="J19" s="12" t="n">
        <v>1</v>
      </c>
      <c r="K19" s="12" t="n">
        <v>1</v>
      </c>
      <c r="L19" s="12" t="inlineStr">
        <is>
          <t>起動(通信確立)</t>
        </is>
      </c>
      <c r="M19" s="15" t="inlineStr">
        <is>
          <t>この衛星が地域B,D,Fで通信確立したとき、追加で特殊通信確立コストを支払ってもよい。そうした場合、自分の地域B,D,F内にいる他の衛星を1機選び通信確立する</t>
        </is>
      </c>
      <c r="N19" s="12" t="inlineStr">
        <is>
          <t>米亜中継ネットワーク</t>
        </is>
      </c>
      <c r="O19" s="12" t="n">
        <v>53</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ROW()-1+33</f>
        <v/>
      </c>
      <c r="B20" s="9">
        <f>"P"&amp;TEXT(A20,"000")</f>
        <v/>
      </c>
      <c r="C20" s="9" t="n">
        <v>0</v>
      </c>
      <c r="D20" s="9" t="n">
        <v>4</v>
      </c>
      <c r="E20" s="9" t="n">
        <v>4</v>
      </c>
      <c r="F20" s="9">
        <f t="array" ref="F20">_xlfn.XLOOKUP(D20,phase!$A$2:$A$9,phase!$C$2:$C$9)</f>
        <v/>
      </c>
      <c r="G20" s="9">
        <f t="array" ref="G20">IF(F20="N",_xlfn.XLOOKUP(E20,phase!$A$2:$A$9,phase!$C$2:$C$9),F20)</f>
        <v/>
      </c>
      <c r="H20" s="9" t="n">
        <v>7</v>
      </c>
      <c r="I20" s="9" t="n">
        <v>2</v>
      </c>
      <c r="J20" s="9" t="n">
        <v>2</v>
      </c>
      <c r="K20" s="9" t="n">
        <v>1</v>
      </c>
      <c r="L20" s="9" t="inlineStr">
        <is>
          <t>常時</t>
        </is>
      </c>
      <c r="M20" s="16" t="inlineStr">
        <is>
          <t>この衛星は通信確立する際、隣接する陸区域も通信確立対象区域に加えられる</t>
        </is>
      </c>
      <c r="N20" s="9" t="inlineStr">
        <is>
          <t>大陸アンテナ</t>
        </is>
      </c>
      <c r="O20" s="9" t="n">
        <v>56</v>
      </c>
      <c r="P20" s="9">
        <f>"P"&amp;TEXT(O20,"000")&amp;".png"</f>
        <v/>
      </c>
      <c r="Q20" s="9">
        <f>fix!$B$2 &amp; "/" &amp; P20</f>
        <v/>
      </c>
      <c r="R20" s="9" t="n"/>
      <c r="S20" s="9" t="inlineStr">
        <is>
          <t>テレスコープ</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ROW()-1+33</f>
        <v/>
      </c>
      <c r="B21" s="12">
        <f>"P"&amp;TEXT(A21,"000")</f>
        <v/>
      </c>
      <c r="C21" s="12" t="n">
        <v>0</v>
      </c>
      <c r="D21" s="12" t="n">
        <v>4</v>
      </c>
      <c r="E21" s="12" t="n">
        <v>4</v>
      </c>
      <c r="F21" s="12">
        <f t="array" ref="F21">_xlfn.XLOOKUP(D21,phase!$A$2:$A$9,phase!$C$2:$C$9)</f>
        <v/>
      </c>
      <c r="G21" s="12">
        <f t="array" ref="G21">IF(F21="N",_xlfn.XLOOKUP(E21,phase!$A$2:$A$9,phase!$C$2:$C$9),F21)</f>
        <v/>
      </c>
      <c r="H21" s="12" t="n">
        <v>7</v>
      </c>
      <c r="I21" s="12" t="n">
        <v>2</v>
      </c>
      <c r="J21" s="12" t="n">
        <v>2</v>
      </c>
      <c r="K21" s="12" t="n">
        <v>1</v>
      </c>
      <c r="L21" s="12" t="inlineStr">
        <is>
          <t>常時</t>
        </is>
      </c>
      <c r="M21" s="15" t="inlineStr">
        <is>
          <t>この衛星は通信確立する際、進行方向に向かって右側の隣接する2区域も通信確立対象区域に加えられる</t>
        </is>
      </c>
      <c r="N21" s="12" t="inlineStr">
        <is>
          <t>面舵アンテナ</t>
        </is>
      </c>
      <c r="O21" s="12" t="n">
        <v>57</v>
      </c>
      <c r="P21" s="12">
        <f>"P"&amp;TEXT(O21,"000")&amp;".png"</f>
        <v/>
      </c>
      <c r="Q21" s="12">
        <f>fix!$B$2 &amp; "/" &amp; P21</f>
        <v/>
      </c>
      <c r="R21" s="12" t="n"/>
      <c r="S21" s="12" t="inlineStr">
        <is>
          <t>三時のアンテナ</t>
        </is>
      </c>
      <c r="T21" s="12" t="inlineStr">
        <is>
          <t>面舵アンテナ</t>
        </is>
      </c>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ROW()-1+33</f>
        <v/>
      </c>
      <c r="B22" s="9">
        <f>"P"&amp;TEXT(A22,"000")</f>
        <v/>
      </c>
      <c r="C22" s="9" t="n">
        <v>0</v>
      </c>
      <c r="D22" s="9" t="n">
        <v>4</v>
      </c>
      <c r="E22" s="9" t="n">
        <v>4</v>
      </c>
      <c r="F22" s="9">
        <f t="array" ref="F22">_xlfn.XLOOKUP(D22,phase!$A$2:$A$9,phase!$C$2:$C$9)</f>
        <v/>
      </c>
      <c r="G22" s="9">
        <f t="array" ref="G22">IF(F22="N",_xlfn.XLOOKUP(E22,phase!$A$2:$A$9,phase!$C$2:$C$9),F22)</f>
        <v/>
      </c>
      <c r="H22" s="9" t="n">
        <v>7</v>
      </c>
      <c r="I22" s="9" t="n">
        <v>2</v>
      </c>
      <c r="J22" s="9" t="n">
        <v>2</v>
      </c>
      <c r="K22" s="9" t="n">
        <v>1</v>
      </c>
      <c r="L22" s="9" t="inlineStr">
        <is>
          <t>常時</t>
        </is>
      </c>
      <c r="M22" s="16" t="inlineStr">
        <is>
          <t>この衛星は通信確立する際、進行方向に向かって左側の隣接する2区域も通信確立対象区域に加えられる</t>
        </is>
      </c>
      <c r="N22" s="9" t="inlineStr">
        <is>
          <t>取舵アンテナ</t>
        </is>
      </c>
      <c r="O22" s="9" t="n">
        <v>58</v>
      </c>
      <c r="P22" s="9">
        <f>"P"&amp;TEXT(O22,"000")&amp;".png"</f>
        <v/>
      </c>
      <c r="Q22" s="9">
        <f>fix!$B$2 &amp; "/" &amp; P22</f>
        <v/>
      </c>
      <c r="R22" s="9" t="n"/>
      <c r="S22" s="9" t="inlineStr">
        <is>
          <t>九時のアンテナ</t>
        </is>
      </c>
      <c r="T22" s="9" t="inlineStr">
        <is>
          <t>取舵アンテナ</t>
        </is>
      </c>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ROW()-1+33</f>
        <v/>
      </c>
      <c r="B23" s="12">
        <f>"P"&amp;TEXT(A23,"000")</f>
        <v/>
      </c>
      <c r="C23" s="12" t="n">
        <v>0</v>
      </c>
      <c r="D23" s="12" t="n">
        <v>4</v>
      </c>
      <c r="E23" s="12" t="n">
        <v>4</v>
      </c>
      <c r="F23" s="12">
        <f t="array" ref="F23">_xlfn.XLOOKUP(D23,phase!$A$2:$A$9,phase!$C$2:$C$9)</f>
        <v/>
      </c>
      <c r="G23" s="12">
        <f t="array" ref="G23">IF(F23="N",_xlfn.XLOOKUP(E23,phase!$A$2:$A$9,phase!$C$2:$C$9),F23)</f>
        <v/>
      </c>
      <c r="H23" s="12" t="n">
        <v>7</v>
      </c>
      <c r="I23" s="12" t="n">
        <v>3</v>
      </c>
      <c r="J23" s="12" t="n">
        <v>2</v>
      </c>
      <c r="K23" s="12" t="n">
        <v>1</v>
      </c>
      <c r="L23" s="12" t="inlineStr">
        <is>
          <t>常時</t>
        </is>
      </c>
      <c r="M23" s="15" t="inlineStr">
        <is>
          <t>この衛星が通信確立する際、他プレイヤーが通信確立済みの区域を通信確立する際、他プレイヤーに先駆者への通信確立コストを支払わない</t>
        </is>
      </c>
      <c r="N23" s="12" t="inlineStr">
        <is>
          <t>ステルス艦</t>
        </is>
      </c>
      <c r="O23" s="12" t="n">
        <v>61</v>
      </c>
      <c r="P23" s="12">
        <f>"P"&amp;TEXT(O23,"000")&amp;".png"</f>
        <v/>
      </c>
      <c r="Q23" s="12">
        <f>fix!$B$2 &amp; "/" &amp; P23</f>
        <v/>
      </c>
      <c r="R23" s="12" t="n"/>
      <c r="S23" s="12" t="inlineStr">
        <is>
          <t>ステルス</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ROW()-1+33</f>
        <v/>
      </c>
      <c r="B24" s="9">
        <f>"P"&amp;TEXT(A24,"000")</f>
        <v/>
      </c>
      <c r="C24" s="9" t="n">
        <v>0</v>
      </c>
      <c r="D24" s="9" t="n">
        <v>7</v>
      </c>
      <c r="E24" s="9" t="n">
        <v>4</v>
      </c>
      <c r="F24" s="9">
        <f t="array" ref="F24">_xlfn.XLOOKUP(D24,phase!$A$2:$A$9,phase!$C$2:$C$9)</f>
        <v/>
      </c>
      <c r="G24" s="9">
        <f t="array" ref="G24">IF(F24="N",_xlfn.XLOOKUP(E24,phase!$A$2:$A$9,phase!$C$2:$C$9),F24)</f>
        <v/>
      </c>
      <c r="H24" s="9" t="n">
        <v>8</v>
      </c>
      <c r="I24" s="9" t="n">
        <v>2</v>
      </c>
      <c r="J24" s="9" t="n">
        <v>2</v>
      </c>
      <c r="K24" s="9" t="n">
        <v>1</v>
      </c>
      <c r="L24" s="9" t="inlineStr">
        <is>
          <t>起動(通信確立)</t>
        </is>
      </c>
      <c r="M24" s="16" t="inlineStr">
        <is>
          <t>この衛星が通信確立したとき、追加で特殊通信確立コストを支払ってもよい。そうした場合、この衛星の進行方向前方の隣接する区域を追加で通信確立する</t>
        </is>
      </c>
      <c r="N24" s="9" t="inlineStr">
        <is>
          <t>前方広域送信機</t>
        </is>
      </c>
      <c r="O24" s="9" t="n">
        <v>46</v>
      </c>
      <c r="P24" s="9">
        <f>"P"&amp;TEXT(O24,"000")&amp;".png"</f>
        <v/>
      </c>
      <c r="Q24" s="9">
        <f>fix!$B$2 &amp; "/" &amp; P24</f>
        <v/>
      </c>
      <c r="R24" s="9" t="n"/>
      <c r="S24" s="9" t="inlineStr">
        <is>
          <t>追加ユニット(前)</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ROW()-1+33</f>
        <v/>
      </c>
      <c r="B25" s="12">
        <f>"P"&amp;TEXT(A25,"000")</f>
        <v/>
      </c>
      <c r="C25" s="12" t="n">
        <v>0</v>
      </c>
      <c r="D25" s="12" t="n">
        <v>7</v>
      </c>
      <c r="E25" s="12" t="n">
        <v>4</v>
      </c>
      <c r="F25" s="12">
        <f t="array" ref="F25">_xlfn.XLOOKUP(D25,phase!$A$2:$A$9,phase!$C$2:$C$9)</f>
        <v/>
      </c>
      <c r="G25" s="12">
        <f t="array" ref="G25">IF(F25="N",_xlfn.XLOOKUP(E25,phase!$A$2:$A$9,phase!$C$2:$C$9),F25)</f>
        <v/>
      </c>
      <c r="H25" s="12" t="n">
        <v>8</v>
      </c>
      <c r="I25" s="12" t="n">
        <v>2</v>
      </c>
      <c r="J25" s="12" t="n">
        <v>2</v>
      </c>
      <c r="K25" s="12" t="n">
        <v>1</v>
      </c>
      <c r="L25" s="12" t="inlineStr">
        <is>
          <t>起動(通信確立)</t>
        </is>
      </c>
      <c r="M25" s="15" t="inlineStr">
        <is>
          <t>この衛星が通信確立したとき、追加で特殊通信確立コストを支払ってもよい。そうした場合、この衛星の進行方向後方の隣接する区域を追加で通信確立する</t>
        </is>
      </c>
      <c r="N25" s="12" t="inlineStr">
        <is>
          <t>後方広域送信機</t>
        </is>
      </c>
      <c r="O25" s="12" t="n">
        <v>47</v>
      </c>
      <c r="P25" s="12">
        <f>"P"&amp;TEXT(O25,"000")&amp;".png"</f>
        <v/>
      </c>
      <c r="Q25" s="12">
        <f>fix!$B$2 &amp; "/" &amp; P25</f>
        <v/>
      </c>
      <c r="R25" s="12" t="n"/>
      <c r="S25" s="12" t="inlineStr">
        <is>
          <t>追加ユニット(後)</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ROW()-1+33</f>
        <v/>
      </c>
      <c r="B26" s="9">
        <f>"P"&amp;TEXT(A26,"000")</f>
        <v/>
      </c>
      <c r="C26" s="9" t="n">
        <v>0</v>
      </c>
      <c r="D26" s="9" t="n">
        <v>4</v>
      </c>
      <c r="E26" s="9" t="n">
        <v>4</v>
      </c>
      <c r="F26" s="9">
        <f t="array" ref="F26">_xlfn.XLOOKUP(D26,phase!$A$2:$A$9,phase!$C$2:$C$9)</f>
        <v/>
      </c>
      <c r="G26" s="9">
        <f t="array" ref="G26">IF(F26="N",_xlfn.XLOOKUP(E26,phase!$A$2:$A$9,phase!$C$2:$C$9),F26)</f>
        <v/>
      </c>
      <c r="H26" s="9" t="n">
        <v>8</v>
      </c>
      <c r="I26" s="9" t="n">
        <v>3</v>
      </c>
      <c r="J26" s="9" t="n">
        <v>1</v>
      </c>
      <c r="K26" s="9" t="n">
        <v>1</v>
      </c>
      <c r="L26" s="9" t="inlineStr">
        <is>
          <t>起動(通信確立)</t>
        </is>
      </c>
      <c r="M26" s="16" t="inlineStr">
        <is>
          <t>自分の他の衛星が地域C,Eで通信確立したとき、特殊通信確立コストを支払ってこの衛星も通信確立してもよい</t>
        </is>
      </c>
      <c r="N26" s="9" t="inlineStr">
        <is>
          <t>真紅遠隔通信装置</t>
        </is>
      </c>
      <c r="O26" s="9" t="n">
        <v>59</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ROW()-1+33</f>
        <v/>
      </c>
      <c r="B27" s="12">
        <f>"P"&amp;TEXT(A27,"000")</f>
        <v/>
      </c>
      <c r="C27" s="12" t="n">
        <v>0</v>
      </c>
      <c r="D27" s="12" t="n">
        <v>4</v>
      </c>
      <c r="E27" s="12" t="n">
        <v>4</v>
      </c>
      <c r="F27" s="12">
        <f t="array" ref="F27">_xlfn.XLOOKUP(D27,phase!$A$2:$A$9,phase!$C$2:$C$9)</f>
        <v/>
      </c>
      <c r="G27" s="12">
        <f t="array" ref="G27">IF(F27="N",_xlfn.XLOOKUP(E27,phase!$A$2:$A$9,phase!$C$2:$C$9),F27)</f>
        <v/>
      </c>
      <c r="H27" s="12" t="n">
        <v>8</v>
      </c>
      <c r="I27" s="12" t="n">
        <v>3</v>
      </c>
      <c r="J27" s="12" t="n">
        <v>1</v>
      </c>
      <c r="K27" s="12" t="n">
        <v>1</v>
      </c>
      <c r="L27" s="12" t="inlineStr">
        <is>
          <t>起動(通信確立)</t>
        </is>
      </c>
      <c r="M27" s="15" t="inlineStr">
        <is>
          <t>自分の他の衛星が地域D,Fで通信確立したとき、特殊通信確立コストを支払ってこの衛星も通信確立してもよい</t>
        </is>
      </c>
      <c r="N27" s="12" t="inlineStr">
        <is>
          <t>瑠璃遠隔通信装置</t>
        </is>
      </c>
      <c r="O27" s="12" t="n">
        <v>60</v>
      </c>
      <c r="P27" s="12">
        <f>"P"&amp;TEXT(O27,"000")&amp;".png"</f>
        <v/>
      </c>
      <c r="Q27" s="12">
        <f>fix!$B$2 &amp; "/" &amp; P27</f>
        <v/>
      </c>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ROW()-1+33</f>
        <v/>
      </c>
      <c r="B28" s="9">
        <f>"P"&amp;TEXT(A28,"000")</f>
        <v/>
      </c>
      <c r="C28" s="9" t="n">
        <v>0</v>
      </c>
      <c r="D28" s="9" t="n">
        <v>4</v>
      </c>
      <c r="E28" s="9" t="n">
        <v>4</v>
      </c>
      <c r="F28" s="9">
        <f t="array" ref="F28">_xlfn.XLOOKUP(D28,phase!$A$2:$A$9,phase!$C$2:$C$9)</f>
        <v/>
      </c>
      <c r="G28" s="9">
        <f t="array" ref="G28">IF(F28="N",_xlfn.XLOOKUP(E28,phase!$A$2:$A$9,phase!$C$2:$C$9),F28)</f>
        <v/>
      </c>
      <c r="H28" s="9" t="n">
        <v>8</v>
      </c>
      <c r="I28" s="9" t="n">
        <v>3</v>
      </c>
      <c r="J28" s="9" t="n">
        <v>2</v>
      </c>
      <c r="K28" s="9" t="n">
        <v>1</v>
      </c>
      <c r="L28" s="9" t="inlineStr">
        <is>
          <t>起動(通信確立)</t>
        </is>
      </c>
      <c r="M28" s="16" t="inlineStr">
        <is>
          <t>この衛星が地域A,Gで通信確立したとき、特殊通信確立コストを支払ってもよい。そうした場合、隣接する陸区域を1つ選び追加で通信確立する</t>
        </is>
      </c>
      <c r="N28" s="9" t="inlineStr">
        <is>
          <t>北洋波形転送装置</t>
        </is>
      </c>
      <c r="O28" s="9" t="n">
        <v>54</v>
      </c>
      <c r="P28" s="9">
        <f>"P"&amp;TEXT(O28,"000")&amp;".png"</f>
        <v/>
      </c>
      <c r="Q28" s="9">
        <f>fix!$B$2 &amp; "/" &amp; P28</f>
        <v/>
      </c>
      <c r="R28" s="9" t="n"/>
      <c r="S28" s="9" t="inlineStr">
        <is>
          <t>ケンタウロス</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ROW()-1+33</f>
        <v/>
      </c>
      <c r="B29" s="12">
        <f>"P"&amp;TEXT(A29,"000")</f>
        <v/>
      </c>
      <c r="C29" s="12" t="n">
        <v>0</v>
      </c>
      <c r="D29" s="12" t="n">
        <v>4</v>
      </c>
      <c r="E29" s="12" t="n">
        <v>4</v>
      </c>
      <c r="F29" s="12">
        <f t="array" ref="F29">_xlfn.XLOOKUP(D29,phase!$A$2:$A$9,phase!$C$2:$C$9)</f>
        <v/>
      </c>
      <c r="G29" s="12">
        <f t="array" ref="G29">IF(F29="N",_xlfn.XLOOKUP(E29,phase!$A$2:$A$9,phase!$C$2:$C$9),F29)</f>
        <v/>
      </c>
      <c r="H29" s="12" t="n">
        <v>8</v>
      </c>
      <c r="I29" s="12" t="n">
        <v>3</v>
      </c>
      <c r="J29" s="12" t="n">
        <v>2</v>
      </c>
      <c r="K29" s="12" t="n">
        <v>1</v>
      </c>
      <c r="L29" s="12" t="inlineStr">
        <is>
          <t>起動(通信確立)</t>
        </is>
      </c>
      <c r="M29" s="15" t="inlineStr">
        <is>
          <t>この衛星が地域B,Hで通信確立したとき、特殊通信確立コストを支払ってもよい。そうした場合、隣接する陸区域を1つ選び追加で通信確立する</t>
        </is>
      </c>
      <c r="N29" s="12" t="inlineStr">
        <is>
          <t>南露波形転送装置</t>
        </is>
      </c>
      <c r="O29" s="12" t="n">
        <v>55</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ROW()-1+33</f>
        <v/>
      </c>
      <c r="B30" s="9">
        <f>"P"&amp;TEXT(A30,"000")</f>
        <v/>
      </c>
      <c r="C30" s="9" t="n">
        <v>0</v>
      </c>
      <c r="D30" s="9" t="n">
        <v>7</v>
      </c>
      <c r="E30" s="9" t="n">
        <v>4</v>
      </c>
      <c r="F30" s="9">
        <f t="array" ref="F30">_xlfn.XLOOKUP(D30,phase!$A$2:$A$9,phase!$C$2:$C$9)</f>
        <v/>
      </c>
      <c r="G30" s="9">
        <f t="array" ref="G30">IF(F30="N",_xlfn.XLOOKUP(E30,phase!$A$2:$A$9,phase!$C$2:$C$9),F30)</f>
        <v/>
      </c>
      <c r="H30" s="9" t="n">
        <v>6</v>
      </c>
      <c r="I30" s="9" t="n">
        <v>2</v>
      </c>
      <c r="J30" s="9" t="n">
        <v>2</v>
      </c>
      <c r="K30" s="9" t="n">
        <v>1</v>
      </c>
      <c r="L30" s="9" t="inlineStr">
        <is>
          <t>常時</t>
        </is>
      </c>
      <c r="M30" s="16" t="inlineStr">
        <is>
          <t>この衛星が地域E,Gで通信確立する際、隣接する海区域を通信確立対象区域に加える</t>
        </is>
      </c>
      <c r="N30" s="9" t="inlineStr">
        <is>
          <t>塵芥海洋アンテナ</t>
        </is>
      </c>
      <c r="O30" s="9" t="n">
        <v>62</v>
      </c>
      <c r="P30" s="9">
        <f>"P"&amp;TEXT(O30,"000")&amp;".png"</f>
        <v/>
      </c>
      <c r="Q30" s="9">
        <f>fix!$B$2 &amp; "/" &amp; P30</f>
        <v/>
      </c>
      <c r="R30" s="9" t="n"/>
      <c r="S30" s="9" t="inlineStr">
        <is>
          <t>サブマリン</t>
        </is>
      </c>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ROW()-1+33</f>
        <v/>
      </c>
      <c r="B31" s="12">
        <f>"P"&amp;TEXT(A31,"000")</f>
        <v/>
      </c>
      <c r="C31" s="12" t="n">
        <v>0</v>
      </c>
      <c r="D31" s="12" t="n">
        <v>7</v>
      </c>
      <c r="E31" s="12" t="n">
        <v>4</v>
      </c>
      <c r="F31" s="12">
        <f t="array" ref="F31">_xlfn.XLOOKUP(D31,phase!$A$2:$A$9,phase!$C$2:$C$9)</f>
        <v/>
      </c>
      <c r="G31" s="12">
        <f t="array" ref="G31">IF(F31="N",_xlfn.XLOOKUP(E31,phase!$A$2:$A$9,phase!$C$2:$C$9),F31)</f>
        <v/>
      </c>
      <c r="H31" s="12" t="n">
        <v>6</v>
      </c>
      <c r="I31" s="12" t="n">
        <v>2</v>
      </c>
      <c r="J31" s="12" t="n">
        <v>2</v>
      </c>
      <c r="K31" s="12" t="n">
        <v>1</v>
      </c>
      <c r="L31" s="12" t="inlineStr">
        <is>
          <t>常時</t>
        </is>
      </c>
      <c r="M31" s="15" t="inlineStr">
        <is>
          <t>この衛星が地域F,Hで通信確立する際、隣接する海区域を通信確立対象区域に加える</t>
        </is>
      </c>
      <c r="N31" s="12" t="inlineStr">
        <is>
          <t>智利海洋アンテナ</t>
        </is>
      </c>
      <c r="O31" s="12" t="n">
        <v>63</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ROW()-1+33</f>
        <v/>
      </c>
      <c r="B32" s="9">
        <f>"P"&amp;TEXT(A32,"000")</f>
        <v/>
      </c>
      <c r="C32" s="9" t="n">
        <v>0</v>
      </c>
      <c r="D32" s="9" t="n">
        <v>7</v>
      </c>
      <c r="E32" s="9" t="n">
        <v>4</v>
      </c>
      <c r="F32" s="9">
        <f t="array" ref="F32">_xlfn.XLOOKUP(D32,phase!$A$2:$A$9,phase!$C$2:$C$9)</f>
        <v/>
      </c>
      <c r="G32" s="9">
        <f t="array" ref="G32">IF(F32="N",_xlfn.XLOOKUP(E32,phase!$A$2:$A$9,phase!$C$2:$C$9),F32)</f>
        <v/>
      </c>
      <c r="H32" s="9" t="n">
        <v>10</v>
      </c>
      <c r="I32" s="9" t="n">
        <v>2</v>
      </c>
      <c r="J32" s="9" t="n">
        <v>2</v>
      </c>
      <c r="K32" s="9" t="n">
        <v>1</v>
      </c>
      <c r="L32" s="9" t="inlineStr">
        <is>
          <t>常時</t>
        </is>
      </c>
      <c r="M32" s="16" t="inlineStr">
        <is>
          <t>この衛星が通信確立する際、進行方向に向かって前方の隣接する3区域を通信確立対象区域に加える</t>
        </is>
      </c>
      <c r="N32" s="9" t="inlineStr">
        <is>
          <t>前方ビームアンテナ</t>
        </is>
      </c>
      <c r="O32" s="9" t="n">
        <v>64</v>
      </c>
      <c r="P32" s="9">
        <f>"P"&amp;TEXT(O32,"000")&amp;".png"</f>
        <v/>
      </c>
      <c r="Q32" s="9">
        <f>fix!$B$2 &amp; "/" &amp; P32</f>
        <v/>
      </c>
      <c r="R32" s="9" t="n"/>
      <c r="S32" s="9" t="inlineStr">
        <is>
          <t>前方アンテナ</t>
        </is>
      </c>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ROW()-1+33</f>
        <v/>
      </c>
      <c r="B33" s="12">
        <f>"P"&amp;TEXT(A33,"000")</f>
        <v/>
      </c>
      <c r="C33" s="12" t="n">
        <v>0</v>
      </c>
      <c r="D33" s="12" t="n">
        <v>7</v>
      </c>
      <c r="E33" s="12" t="n">
        <v>4</v>
      </c>
      <c r="F33" s="12">
        <f t="array" ref="F33">_xlfn.XLOOKUP(D33,phase!$A$2:$A$9,phase!$C$2:$C$9)</f>
        <v/>
      </c>
      <c r="G33" s="12">
        <f t="array" ref="G33">IF(F33="N",_xlfn.XLOOKUP(E33,phase!$A$2:$A$9,phase!$C$2:$C$9),F33)</f>
        <v/>
      </c>
      <c r="H33" s="12" t="n">
        <v>10</v>
      </c>
      <c r="I33" s="12" t="n">
        <v>2</v>
      </c>
      <c r="J33" s="12" t="n">
        <v>2</v>
      </c>
      <c r="K33" s="12" t="n">
        <v>1</v>
      </c>
      <c r="L33" s="12" t="inlineStr">
        <is>
          <t>常時</t>
        </is>
      </c>
      <c r="M33" s="15" t="inlineStr">
        <is>
          <t>この衛星が通信確立する際、進行方向に向かって後方の隣接する3区域を通信確立対象区域に加える</t>
        </is>
      </c>
      <c r="N33" s="12" t="inlineStr">
        <is>
          <t>後方ビームアンテナ</t>
        </is>
      </c>
      <c r="O33" s="12" t="n">
        <v>65</v>
      </c>
      <c r="P33" s="12">
        <f>"P"&amp;TEXT(O33,"000")&amp;".png"</f>
        <v/>
      </c>
      <c r="Q33" s="12">
        <f>fix!$B$2 &amp; "/" &amp; P33</f>
        <v/>
      </c>
      <c r="R33" s="12" t="n"/>
      <c r="S33" s="12" t="inlineStr">
        <is>
          <t>後方アンテナ</t>
        </is>
      </c>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ROW()-1+33</f>
        <v/>
      </c>
      <c r="B34" s="9">
        <f>"P"&amp;TEXT(A34,"000")</f>
        <v/>
      </c>
      <c r="C34" s="9" t="n">
        <v>0</v>
      </c>
      <c r="D34" s="9" t="n">
        <v>7</v>
      </c>
      <c r="E34" s="9" t="n">
        <v>4</v>
      </c>
      <c r="F34" s="9">
        <f t="array" ref="F34">_xlfn.XLOOKUP(D34,phase!$A$2:$A$9,phase!$C$2:$C$9)</f>
        <v/>
      </c>
      <c r="G34" s="9">
        <f t="array" ref="G34">IF(F34="N",_xlfn.XLOOKUP(E34,phase!$A$2:$A$9,phase!$C$2:$C$9),F34)</f>
        <v/>
      </c>
      <c r="H34" s="9" t="n">
        <v>10</v>
      </c>
      <c r="I34" s="9" t="n">
        <v>2</v>
      </c>
      <c r="J34" s="9" t="n">
        <v>8</v>
      </c>
      <c r="K34" s="9" t="n">
        <v>1</v>
      </c>
      <c r="L34" s="9" t="inlineStr">
        <is>
          <t>常時</t>
        </is>
      </c>
      <c r="M34" s="16" t="inlineStr">
        <is>
          <t>この衛星は通信確立できない</t>
        </is>
      </c>
      <c r="N34" s="9" t="inlineStr">
        <is>
          <t>電波遮断装置</t>
        </is>
      </c>
      <c r="O34" s="9" t="n">
        <v>66</v>
      </c>
      <c r="P34" s="9">
        <f>"P"&amp;TEXT(O34,"000")&amp;".png"</f>
        <v/>
      </c>
      <c r="Q34" s="9">
        <f>fix!$B$2 &amp; "/" &amp; P34</f>
        <v/>
      </c>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ROW()-1+66</f>
        <v/>
      </c>
      <c r="B2" s="9">
        <f>"P"&amp;TEXT(A2,"000")</f>
        <v/>
      </c>
      <c r="C2" s="9" t="n">
        <v>0</v>
      </c>
      <c r="D2" s="9" t="n">
        <v>5</v>
      </c>
      <c r="E2" s="9" t="n">
        <v>5</v>
      </c>
      <c r="F2" s="9">
        <f t="array" ref="F2">_xlfn.XLOOKUP(D2,phase!$A$2:$A$9,phase!$C$2:$C$9)</f>
        <v/>
      </c>
      <c r="G2" s="9">
        <f t="array" ref="G2">IF(F2="N",_xlfn.XLOOKUP(E2,phase!$A$2:$A$9,phase!$C$2:$C$9),F2)</f>
        <v/>
      </c>
      <c r="H2" s="9" t="n">
        <v>3</v>
      </c>
      <c r="I2" s="9" t="n">
        <v>2</v>
      </c>
      <c r="J2" s="9" t="n">
        <v>2</v>
      </c>
      <c r="K2" s="9" t="n">
        <v>1</v>
      </c>
      <c r="L2" s="9" t="inlineStr">
        <is>
          <t>常時</t>
        </is>
      </c>
      <c r="M2" s="16" t="inlineStr">
        <is>
          <t>企画フェイズでプロジェクトカードを引く枚数が1枚増える。ただし、手札に残す枚数は変わらない</t>
        </is>
      </c>
      <c r="N2" s="9" t="inlineStr">
        <is>
          <t>チュリュモフ</t>
        </is>
      </c>
      <c r="O2" s="9" t="n">
        <v>67</v>
      </c>
      <c r="P2" s="9">
        <f>"P"&amp;TEXT(O2,"000")&amp;".png"</f>
        <v/>
      </c>
      <c r="Q2" s="9">
        <f>fix!$B$2 &amp; "/" &amp; P2</f>
        <v/>
      </c>
      <c r="R2" s="9" t="n"/>
      <c r="S2" s="9" t="inlineStr">
        <is>
          <t>ホエール</t>
        </is>
      </c>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ROW()-1+66</f>
        <v/>
      </c>
      <c r="B3" s="12">
        <f>"P"&amp;TEXT(A3,"000")</f>
        <v/>
      </c>
      <c r="C3" s="12" t="n">
        <v>0</v>
      </c>
      <c r="D3" s="12" t="n">
        <v>5</v>
      </c>
      <c r="E3" s="12" t="n">
        <v>5</v>
      </c>
      <c r="F3" s="12">
        <f t="array" ref="F3">_xlfn.XLOOKUP(D3,phase!$A$2:$A$9,phase!$C$2:$C$9)</f>
        <v/>
      </c>
      <c r="G3" s="12">
        <f t="array" ref="G3">IF(F3="N",_xlfn.XLOOKUP(E3,phase!$A$2:$A$9,phase!$C$2:$C$9),F3)</f>
        <v/>
      </c>
      <c r="H3" s="12" t="n">
        <v>4</v>
      </c>
      <c r="I3" s="12" t="n">
        <v>2</v>
      </c>
      <c r="J3" s="12" t="n">
        <v>2</v>
      </c>
      <c r="K3" s="12" t="n">
        <v>1</v>
      </c>
      <c r="L3" s="12" t="inlineStr">
        <is>
          <t>常時</t>
        </is>
      </c>
      <c r="M3" s="15" t="inlineStr">
        <is>
          <t>企画フェイズでプロジェクトカードを捨てる際、企画フェイズ中に引いたカード以外を捨てることができる</t>
        </is>
      </c>
      <c r="N3" s="12" t="inlineStr">
        <is>
          <t>シャノンエントロピー</t>
        </is>
      </c>
      <c r="O3" s="12" t="n">
        <v>68</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ROW()-1+66</f>
        <v/>
      </c>
      <c r="B4" s="9">
        <f>"P"&amp;TEXT(A4,"000")</f>
        <v/>
      </c>
      <c r="C4" s="9" t="n">
        <v>0</v>
      </c>
      <c r="D4" s="9" t="n">
        <v>5</v>
      </c>
      <c r="E4" s="9" t="n">
        <v>5</v>
      </c>
      <c r="F4" s="9">
        <f t="array" ref="F4">_xlfn.XLOOKUP(D4,phase!$A$2:$A$9,phase!$C$2:$C$9)</f>
        <v/>
      </c>
      <c r="G4" s="9">
        <f t="array" ref="G4">IF(F4="N",_xlfn.XLOOKUP(E4,phase!$A$2:$A$9,phase!$C$2:$C$9),F4)</f>
        <v/>
      </c>
      <c r="H4" s="9" t="n">
        <v>6</v>
      </c>
      <c r="I4" s="9" t="n">
        <v>2</v>
      </c>
      <c r="J4" s="9" t="n">
        <v>2</v>
      </c>
      <c r="K4" s="9" t="n">
        <v>1</v>
      </c>
      <c r="L4" s="9" t="inlineStr">
        <is>
          <t>起動(企画)</t>
        </is>
      </c>
      <c r="M4" s="16" t="inlineStr">
        <is>
          <t>企画フェイズで4[マネー]支払ってもよい。そうした場合、+1[予算]</t>
        </is>
      </c>
      <c r="N4" s="9" t="inlineStr">
        <is>
          <t>ロスコスモス</t>
        </is>
      </c>
      <c r="O4" s="9" t="n">
        <v>69</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ROW()-1+66</f>
        <v/>
      </c>
      <c r="B5" s="12">
        <f>"P"&amp;TEXT(A5,"000")</f>
        <v/>
      </c>
      <c r="C5" s="12" t="n">
        <v>0</v>
      </c>
      <c r="D5" s="12" t="n">
        <v>5</v>
      </c>
      <c r="E5" s="12" t="n">
        <v>5</v>
      </c>
      <c r="F5" s="12">
        <f t="array" ref="F5">_xlfn.XLOOKUP(D5,phase!$A$2:$A$9,phase!$C$2:$C$9)</f>
        <v/>
      </c>
      <c r="G5" s="12">
        <f t="array" ref="G5">IF(F5="N",_xlfn.XLOOKUP(E5,phase!$A$2:$A$9,phase!$C$2:$C$9),F5)</f>
        <v/>
      </c>
      <c r="H5" s="12" t="n">
        <v>6</v>
      </c>
      <c r="I5" s="12" t="n">
        <v>2</v>
      </c>
      <c r="J5" s="12" t="n">
        <v>2</v>
      </c>
      <c r="K5" s="12" t="n">
        <v>1</v>
      </c>
      <c r="L5" s="12" t="inlineStr">
        <is>
          <t>起動(企画)</t>
        </is>
      </c>
      <c r="M5" s="15" t="inlineStr">
        <is>
          <t>企画フェイズでプロジェクトカードを追加で1枚捨ててもよい。そうした場合、+7[マネー]</t>
        </is>
      </c>
      <c r="N5" s="12" t="inlineStr">
        <is>
          <t>スピンオフ</t>
        </is>
      </c>
      <c r="O5" s="12" t="n">
        <v>70</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ROW()-1+66</f>
        <v/>
      </c>
      <c r="B6" s="9">
        <f>"P"&amp;TEXT(A6,"000")</f>
        <v/>
      </c>
      <c r="C6" s="9" t="n">
        <v>0</v>
      </c>
      <c r="D6" s="9" t="n">
        <v>5</v>
      </c>
      <c r="E6" s="9" t="n">
        <v>5</v>
      </c>
      <c r="F6" s="9">
        <f t="array" ref="F6">_xlfn.XLOOKUP(D6,phase!$A$2:$A$9,phase!$C$2:$C$9)</f>
        <v/>
      </c>
      <c r="G6" s="9">
        <f t="array" ref="G6">IF(F6="N",_xlfn.XLOOKUP(E6,phase!$A$2:$A$9,phase!$C$2:$C$9),F6)</f>
        <v/>
      </c>
      <c r="H6" s="9" t="n">
        <v>6</v>
      </c>
      <c r="I6" s="9" t="n">
        <v>2</v>
      </c>
      <c r="J6" s="9" t="n">
        <v>2</v>
      </c>
      <c r="K6" s="9" t="n">
        <v>1</v>
      </c>
      <c r="L6" s="9" t="inlineStr">
        <is>
          <t>常時</t>
        </is>
      </c>
      <c r="M6" s="16" t="inlineStr">
        <is>
          <t>企画フェイズのアクション選択ボーナスにおいて、引く枚数・手札に残す枚数それぞれ1枚増える</t>
        </is>
      </c>
      <c r="N6" s="9" t="inlineStr">
        <is>
          <t>チャンドラセカール</t>
        </is>
      </c>
      <c r="O6" s="9" t="n">
        <v>71</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ROW()-1+66</f>
        <v/>
      </c>
      <c r="B7" s="12">
        <f>"P"&amp;TEXT(A7,"000")</f>
        <v/>
      </c>
      <c r="C7" s="12" t="n">
        <v>0</v>
      </c>
      <c r="D7" s="12" t="n">
        <v>5</v>
      </c>
      <c r="E7" s="12" t="n">
        <v>5</v>
      </c>
      <c r="F7" s="12">
        <f t="array" ref="F7">_xlfn.XLOOKUP(D7,phase!$A$2:$A$9,phase!$C$2:$C$9)</f>
        <v/>
      </c>
      <c r="G7" s="12">
        <f t="array" ref="G7">IF(F7="N",_xlfn.XLOOKUP(E7,phase!$A$2:$A$9,phase!$C$2:$C$9),F7)</f>
        <v/>
      </c>
      <c r="H7" s="12" t="n">
        <v>6</v>
      </c>
      <c r="I7" s="12" t="n">
        <v>3</v>
      </c>
      <c r="J7" s="12" t="n">
        <v>2</v>
      </c>
      <c r="K7" s="12" t="n">
        <v>1</v>
      </c>
      <c r="L7" s="12" t="inlineStr">
        <is>
          <t>起動(企画)</t>
        </is>
      </c>
      <c r="M7" s="15" t="inlineStr">
        <is>
          <t>企画フェイズで4/7/10マネー支払ってもよい。そうした場合、手札に残す枚数が1/2/3枚増える</t>
        </is>
      </c>
      <c r="N7" s="12" t="inlineStr">
        <is>
          <t>ランチェスター</t>
        </is>
      </c>
      <c r="O7" s="12" t="n">
        <v>72</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ROW()-1+66</f>
        <v/>
      </c>
      <c r="B8" s="9">
        <f>"P"&amp;TEXT(A8,"000")</f>
        <v/>
      </c>
      <c r="C8" s="9" t="n">
        <v>0</v>
      </c>
      <c r="D8" s="9" t="n">
        <v>5</v>
      </c>
      <c r="E8" s="9" t="n">
        <v>5</v>
      </c>
      <c r="F8" s="9">
        <f t="array" ref="F8">_xlfn.XLOOKUP(D8,phase!$A$2:$A$9,phase!$C$2:$C$9)</f>
        <v/>
      </c>
      <c r="G8" s="9">
        <f t="array" ref="G8">IF(F8="N",_xlfn.XLOOKUP(E8,phase!$A$2:$A$9,phase!$C$2:$C$9),F8)</f>
        <v/>
      </c>
      <c r="H8" s="9" t="n">
        <v>8</v>
      </c>
      <c r="I8" s="9" t="n">
        <v>3</v>
      </c>
      <c r="J8" s="9" t="n">
        <v>2</v>
      </c>
      <c r="K8" s="9" t="n">
        <v>1</v>
      </c>
      <c r="L8" s="9" t="inlineStr">
        <is>
          <t>常時</t>
        </is>
      </c>
      <c r="M8" s="16" t="inlineStr">
        <is>
          <t>企画フェイズで手札に残す枚数が1枚増える</t>
        </is>
      </c>
      <c r="N8" s="9" t="inlineStr">
        <is>
          <t>テスラメモリー</t>
        </is>
      </c>
      <c r="O8" s="9" t="n">
        <v>74</v>
      </c>
      <c r="P8" s="9">
        <f>"P"&amp;TEXT(O8,"000")&amp;".png"</f>
        <v/>
      </c>
      <c r="Q8" s="9">
        <f>fix!$B$2 &amp; "/" &amp; P8</f>
        <v/>
      </c>
      <c r="R8" s="9" t="n"/>
      <c r="S8" s="9" t="inlineStr">
        <is>
          <t>コワーキングスペース</t>
        </is>
      </c>
      <c r="T8" s="9" t="inlineStr">
        <is>
          <t>実のある会議ができるようになる？</t>
        </is>
      </c>
      <c r="U8" s="9" t="n"/>
      <c r="V8" s="9" t="n"/>
      <c r="W8" s="9" t="n"/>
      <c r="X8" s="9" t="n"/>
      <c r="Y8" s="9" t="n"/>
      <c r="Z8" s="9" t="n"/>
      <c r="AA8" s="9" t="n"/>
      <c r="AB8" s="9" t="n"/>
      <c r="AC8" s="9" t="n"/>
      <c r="AD8" s="9" t="n"/>
      <c r="AE8" s="9" t="n"/>
      <c r="AF8" s="9" t="n"/>
      <c r="AG8" s="9" t="n"/>
      <c r="AH8" s="9" t="n"/>
      <c r="AI8" s="9" t="n"/>
      <c r="AJ8" s="9" t="n"/>
      <c r="AK8" s="9" t="n"/>
      <c r="AL8" s="9" t="n"/>
      <c r="AM8" s="9" t="n"/>
    </row>
    <row r="9">
      <c r="A9" s="12">
        <f>ROW()-1+66</f>
        <v/>
      </c>
      <c r="B9" s="12">
        <f>"P"&amp;TEXT(A9,"000")</f>
        <v/>
      </c>
      <c r="C9" s="12" t="n">
        <v>0</v>
      </c>
      <c r="D9" s="12" t="n">
        <v>5</v>
      </c>
      <c r="E9" s="12" t="n">
        <v>5</v>
      </c>
      <c r="F9" s="12">
        <f t="array" ref="F9">_xlfn.XLOOKUP(D9,phase!$A$2:$A$9,phase!$C$2:$C$9)</f>
        <v/>
      </c>
      <c r="G9" s="12">
        <f t="array" ref="G9">IF(F9="N",_xlfn.XLOOKUP(E9,phase!$A$2:$A$9,phase!$C$2:$C$9),F9)</f>
        <v/>
      </c>
      <c r="H9" s="12" t="n">
        <v>9</v>
      </c>
      <c r="I9" s="12" t="n">
        <v>3</v>
      </c>
      <c r="J9" s="12" t="n">
        <v>3</v>
      </c>
      <c r="K9" s="12" t="n">
        <v>1</v>
      </c>
      <c r="L9" s="12" t="inlineStr">
        <is>
          <t>起動(企画)</t>
        </is>
      </c>
      <c r="M9" s="15" t="inlineStr">
        <is>
          <t>企画フェイズでプロジェクトカードを1枚捨ててもよい。そうした場合、プロジェクトカードを1枚選んで配備コストを支払って自分の好きな衛星に配備する</t>
        </is>
      </c>
      <c r="N9" s="12" t="inlineStr">
        <is>
          <t>ゼロデイデプロイ</t>
        </is>
      </c>
      <c r="O9" s="12" t="n">
        <v>75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ROW()-1+66</f>
        <v/>
      </c>
      <c r="B10" s="9">
        <f>"P"&amp;TEXT(A10,"000")</f>
        <v/>
      </c>
      <c r="C10" s="9" t="n">
        <v>0</v>
      </c>
      <c r="D10" s="9" t="n">
        <v>5</v>
      </c>
      <c r="E10" s="9" t="n">
        <v>5</v>
      </c>
      <c r="F10" s="9">
        <f t="array" ref="F10">_xlfn.XLOOKUP(D10,phase!$A$2:$A$9,phase!$C$2:$C$9)</f>
        <v/>
      </c>
      <c r="G10" s="9">
        <f t="array" ref="G10">IF(F10="N",_xlfn.XLOOKUP(E10,phase!$A$2:$A$9,phase!$C$2:$C$9),F10)</f>
        <v/>
      </c>
      <c r="H10" s="9" t="n">
        <v>10</v>
      </c>
      <c r="I10" s="9" t="n">
        <v>3</v>
      </c>
      <c r="J10" s="9" t="n">
        <v>1</v>
      </c>
      <c r="K10" s="9" t="n">
        <v>1</v>
      </c>
      <c r="L10" s="9" t="inlineStr">
        <is>
          <t>起動(企画)</t>
        </is>
      </c>
      <c r="M10" s="16" t="inlineStr">
        <is>
          <t>企画フェイズでプロジェクトカードを引いた枚数1枚につき+1[マネー]</t>
        </is>
      </c>
      <c r="N10" s="9" t="inlineStr">
        <is>
          <t>ファラデー</t>
        </is>
      </c>
      <c r="O10" s="9" t="n">
        <v>73</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ROW()-1+66</f>
        <v/>
      </c>
      <c r="B11" s="12">
        <f>"P"&amp;TEXT(A11,"000")</f>
        <v/>
      </c>
      <c r="C11" s="12" t="n">
        <v>0</v>
      </c>
      <c r="D11" s="12" t="n">
        <v>5</v>
      </c>
      <c r="E11" s="12" t="n">
        <v>5</v>
      </c>
      <c r="F11" s="12">
        <f t="array" ref="F11">_xlfn.XLOOKUP(D11,phase!$A$2:$A$9,phase!$C$2:$C$9)</f>
        <v/>
      </c>
      <c r="G11" s="12">
        <f t="array" ref="G11">IF(F11="N",_xlfn.XLOOKUP(E11,phase!$A$2:$A$9,phase!$C$2:$C$9),F11)</f>
        <v/>
      </c>
      <c r="H11" s="12" t="n">
        <v>10</v>
      </c>
      <c r="I11" s="12" t="n">
        <v>3</v>
      </c>
      <c r="J11" s="12" t="n">
        <v>3</v>
      </c>
      <c r="K11" s="12" t="n">
        <v>1</v>
      </c>
      <c r="L11" s="12" t="inlineStr">
        <is>
          <t>起動(企画)</t>
        </is>
      </c>
      <c r="M11"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11" s="12" t="inlineStr">
        <is>
          <t>グラウンドリンク</t>
        </is>
      </c>
      <c r="O11" s="12" t="n">
        <v>76</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ROW()-1+66</f>
        <v/>
      </c>
      <c r="B12" s="9">
        <f>"P"&amp;TEXT(A12,"000")</f>
        <v/>
      </c>
      <c r="C12" s="9" t="n">
        <v>0</v>
      </c>
      <c r="D12" s="9" t="n">
        <v>7</v>
      </c>
      <c r="E12" s="9" t="n">
        <v>5</v>
      </c>
      <c r="F12" s="9">
        <f t="array" ref="F12">_xlfn.XLOOKUP(D12,phase!$A$2:$A$9,phase!$C$2:$C$9)</f>
        <v/>
      </c>
      <c r="G12" s="9">
        <f t="array" ref="G12">IF(F12="N",_xlfn.XLOOKUP(E12,phase!$A$2:$A$9,phase!$C$2:$C$9),F12)</f>
        <v/>
      </c>
      <c r="H12" s="9" t="n">
        <v>7</v>
      </c>
      <c r="I12" s="9" t="n">
        <v>2</v>
      </c>
      <c r="J12" s="9" t="n">
        <v>3</v>
      </c>
      <c r="K12" s="9" t="n">
        <v>1</v>
      </c>
      <c r="L12" s="9" t="inlineStr">
        <is>
          <t>常時</t>
        </is>
      </c>
      <c r="M12" s="16" t="inlineStr">
        <is>
          <t>いつでも自分はプロジェクトカードを捨てたときにもらえる[マネー]+2</t>
        </is>
      </c>
      <c r="N12" s="9" t="inlineStr">
        <is>
          <t>オライオンリワード</t>
        </is>
      </c>
      <c r="O12" s="9" t="n">
        <v>77</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ROW()-1+66</f>
        <v/>
      </c>
      <c r="B13" s="12">
        <f>"P"&amp;TEXT(A13,"000")</f>
        <v/>
      </c>
      <c r="C13" s="12" t="n">
        <v>0</v>
      </c>
      <c r="D13" s="12" t="n">
        <v>6</v>
      </c>
      <c r="E13" s="12" t="n">
        <v>6</v>
      </c>
      <c r="F13" s="12">
        <f t="array" ref="F13">_xlfn.XLOOKUP(D13,phase!$A$2:$A$9,phase!$C$2:$C$9)</f>
        <v/>
      </c>
      <c r="G13" s="12">
        <f t="array" ref="G13">IF(F13="N",_xlfn.XLOOKUP(E13,phase!$A$2:$A$9,phase!$C$2:$C$9),F13)</f>
        <v/>
      </c>
      <c r="H13" s="12" t="n">
        <v>3</v>
      </c>
      <c r="I13" s="12" t="n">
        <v>2</v>
      </c>
      <c r="J13" s="12" t="n">
        <v>2</v>
      </c>
      <c r="K13" s="12" t="n">
        <v>1</v>
      </c>
      <c r="L13" s="12" t="inlineStr">
        <is>
          <t>起動(着陸)</t>
        </is>
      </c>
      <c r="M13" s="15" t="inlineStr">
        <is>
          <t>自分の衛星が着陸/着水したとき、プロジェクトカードを1枚引く</t>
        </is>
      </c>
      <c r="N13" s="12" t="inlineStr">
        <is>
          <t>アポロダウン</t>
        </is>
      </c>
      <c r="O13" s="12" t="n">
        <v>78</v>
      </c>
      <c r="P13" s="12">
        <f>"P"&amp;TEXT(O13,"000")&amp;".png"</f>
        <v/>
      </c>
      <c r="Q13" s="12">
        <f>fix!$B$2 &amp; "/" &amp; P13</f>
        <v/>
      </c>
      <c r="R13" s="12" t="n"/>
      <c r="S13" s="12" t="inlineStr">
        <is>
          <t>国民的宇宙飛行士</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ROW()-1+66</f>
        <v/>
      </c>
      <c r="B14" s="9">
        <f>"P"&amp;TEXT(A14,"000")</f>
        <v/>
      </c>
      <c r="C14" s="9" t="n">
        <v>0</v>
      </c>
      <c r="D14" s="9" t="n">
        <v>6</v>
      </c>
      <c r="E14" s="9" t="n">
        <v>6</v>
      </c>
      <c r="F14" s="9">
        <f t="array" ref="F14">_xlfn.XLOOKUP(D14,phase!$A$2:$A$9,phase!$C$2:$C$9)</f>
        <v/>
      </c>
      <c r="G14" s="9">
        <f t="array" ref="G14">IF(F14="N",_xlfn.XLOOKUP(E14,phase!$A$2:$A$9,phase!$C$2:$C$9),F14)</f>
        <v/>
      </c>
      <c r="H14" s="9" t="n">
        <v>4</v>
      </c>
      <c r="I14" s="9" t="n">
        <v>1</v>
      </c>
      <c r="J14" s="9" t="n">
        <v>1</v>
      </c>
      <c r="K14" s="9" t="n">
        <v>1</v>
      </c>
      <c r="L14" s="9" t="inlineStr">
        <is>
          <t>起動(特定地域上空)</t>
        </is>
      </c>
      <c r="M14" s="16" t="inlineStr">
        <is>
          <t>この衛星に[Crew][Device][Software]が全て配備されていれば、この衛星はA,H上空で燃料を消費しない</t>
        </is>
      </c>
      <c r="N14" s="9" t="inlineStr">
        <is>
          <t>ゼログラビティα</t>
        </is>
      </c>
      <c r="O14" s="9" t="n">
        <v>90</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ROW()-1+66</f>
        <v/>
      </c>
      <c r="B15" s="12">
        <f>"P"&amp;TEXT(A15,"000")</f>
        <v/>
      </c>
      <c r="C15" s="12" t="n">
        <v>0</v>
      </c>
      <c r="D15" s="12" t="n">
        <v>6</v>
      </c>
      <c r="E15" s="12" t="n">
        <v>6</v>
      </c>
      <c r="F15" s="12">
        <f t="array" ref="F15">_xlfn.XLOOKUP(D15,phase!$A$2:$A$9,phase!$C$2:$C$9)</f>
        <v/>
      </c>
      <c r="G15" s="12">
        <f t="array" ref="G15">IF(F15="N",_xlfn.XLOOKUP(E15,phase!$A$2:$A$9,phase!$C$2:$C$9),F15)</f>
        <v/>
      </c>
      <c r="H15" s="12" t="n">
        <v>4</v>
      </c>
      <c r="I15" s="12" t="n">
        <v>1</v>
      </c>
      <c r="J15" s="12" t="n">
        <v>1</v>
      </c>
      <c r="K15" s="12" t="n">
        <v>1</v>
      </c>
      <c r="L15" s="12" t="inlineStr">
        <is>
          <t>起動(特定地域上空)</t>
        </is>
      </c>
      <c r="M15" s="15" t="inlineStr">
        <is>
          <t>この衛星に[Crew][Device][Software]が全て配備されていれば、この衛星はB,E上空で燃料を消費しない</t>
        </is>
      </c>
      <c r="N15" s="12" t="inlineStr">
        <is>
          <t>ゼログラビティβ</t>
        </is>
      </c>
      <c r="O15" s="12" t="n">
        <v>91</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ROW()-1+66</f>
        <v/>
      </c>
      <c r="B16" s="9">
        <f>"P"&amp;TEXT(A16,"000")</f>
        <v/>
      </c>
      <c r="C16" s="9" t="n">
        <v>0</v>
      </c>
      <c r="D16" s="9" t="n">
        <v>6</v>
      </c>
      <c r="E16" s="9" t="n">
        <v>6</v>
      </c>
      <c r="F16" s="9">
        <f t="array" ref="F16">_xlfn.XLOOKUP(D16,phase!$A$2:$A$9,phase!$C$2:$C$9)</f>
        <v/>
      </c>
      <c r="G16" s="9">
        <f t="array" ref="G16">IF(F16="N",_xlfn.XLOOKUP(E16,phase!$A$2:$A$9,phase!$C$2:$C$9),F16)</f>
        <v/>
      </c>
      <c r="H16" s="9" t="n">
        <v>4</v>
      </c>
      <c r="I16" s="9" t="n">
        <v>2</v>
      </c>
      <c r="J16" s="9" t="n">
        <v>2</v>
      </c>
      <c r="K16" s="9" t="n">
        <v>1</v>
      </c>
      <c r="L16" s="9" t="inlineStr">
        <is>
          <t>起動(通信確立上空)</t>
        </is>
      </c>
      <c r="M16" s="16" t="inlineStr">
        <is>
          <t>この衛星が自分の通信確立済み区域の上空に突入したとき、2[マネー]支払ってもよい。そうした場合、この衛星を進行方向に1区域進め、燃料を1消費する</t>
        </is>
      </c>
      <c r="N16" s="9" t="inlineStr">
        <is>
          <t>ホーマンブースター</t>
        </is>
      </c>
      <c r="O16" s="9" t="n">
        <v>79</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ROW()-1+66</f>
        <v/>
      </c>
      <c r="B17" s="12">
        <f>"P"&amp;TEXT(A17,"000")</f>
        <v/>
      </c>
      <c r="C17" s="12" t="n">
        <v>0</v>
      </c>
      <c r="D17" s="12" t="n">
        <v>6</v>
      </c>
      <c r="E17" s="12" t="n">
        <v>6</v>
      </c>
      <c r="F17" s="12">
        <f t="array" ref="F17">_xlfn.XLOOKUP(D17,phase!$A$2:$A$9,phase!$C$2:$C$9)</f>
        <v/>
      </c>
      <c r="G17" s="12">
        <f t="array" ref="G17">IF(F17="N",_xlfn.XLOOKUP(E17,phase!$A$2:$A$9,phase!$C$2:$C$9),F17)</f>
        <v/>
      </c>
      <c r="H17" s="12" t="n">
        <v>4</v>
      </c>
      <c r="I17" s="12" t="n">
        <v>2</v>
      </c>
      <c r="J17" s="12" t="n">
        <v>2</v>
      </c>
      <c r="K17" s="12" t="n">
        <v>1</v>
      </c>
      <c r="L17" s="12" t="inlineStr">
        <is>
          <t>起動(循環CDS)</t>
        </is>
      </c>
      <c r="M17" s="15" t="inlineStr">
        <is>
          <t>この衛星に[Crew],[Device],[Software]が配備されているならば、この衛星は1区域追加で循環してもよい。そうした場合、燃料を1消費し、移動した先の区域でニアミス判定は行われる。</t>
        </is>
      </c>
      <c r="N17" s="12" t="inlineStr">
        <is>
          <t>トライアドブースター</t>
        </is>
      </c>
      <c r="O17" s="12" t="n">
        <v>80</v>
      </c>
      <c r="P17" s="12">
        <f>"P"&amp;TEXT(O17,"000")&amp;".png"</f>
        <v/>
      </c>
      <c r="Q17" s="12">
        <f>fix!$B$2 &amp; "/" &amp; P17</f>
        <v/>
      </c>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ROW()-1+66</f>
        <v/>
      </c>
      <c r="B18" s="9">
        <f>"P"&amp;TEXT(A18,"000")</f>
        <v/>
      </c>
      <c r="C18" s="9" t="n">
        <v>0</v>
      </c>
      <c r="D18" s="9" t="n">
        <v>6</v>
      </c>
      <c r="E18" s="9" t="n">
        <v>6</v>
      </c>
      <c r="F18" s="9">
        <f t="array" ref="F18">_xlfn.XLOOKUP(D18,phase!$A$2:$A$9,phase!$C$2:$C$9)</f>
        <v/>
      </c>
      <c r="G18" s="9">
        <f t="array" ref="G18">IF(F18="N",_xlfn.XLOOKUP(E18,phase!$A$2:$A$9,phase!$C$2:$C$9),F18)</f>
        <v/>
      </c>
      <c r="H18" s="9" t="n">
        <v>4</v>
      </c>
      <c r="I18" s="9" t="n">
        <v>2</v>
      </c>
      <c r="J18" s="9" t="n">
        <v>2</v>
      </c>
      <c r="K18" s="9" t="n">
        <v>1</v>
      </c>
      <c r="L18" s="9" t="inlineStr">
        <is>
          <t>起動(特定地域上空)</t>
        </is>
      </c>
      <c r="M18" s="16" t="inlineStr">
        <is>
          <t>この衛星が別地域から地域A,C,Hの上空に突入したとき、燃料を2回復する。</t>
        </is>
      </c>
      <c r="N18" s="9" t="inlineStr">
        <is>
          <t>アルベドリフィル</t>
        </is>
      </c>
      <c r="O18" s="9" t="n">
        <v>81</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ROW()-1+66</f>
        <v/>
      </c>
      <c r="B19" s="12">
        <f>"P"&amp;TEXT(A19,"000")</f>
        <v/>
      </c>
      <c r="C19" s="12" t="n">
        <v>0</v>
      </c>
      <c r="D19" s="12" t="n">
        <v>6</v>
      </c>
      <c r="E19" s="12" t="n">
        <v>6</v>
      </c>
      <c r="F19" s="12">
        <f t="array" ref="F19">_xlfn.XLOOKUP(D19,phase!$A$2:$A$9,phase!$C$2:$C$9)</f>
        <v/>
      </c>
      <c r="G19" s="12">
        <f t="array" ref="G19">IF(F19="N",_xlfn.XLOOKUP(E19,phase!$A$2:$A$9,phase!$C$2:$C$9),F19)</f>
        <v/>
      </c>
      <c r="H19" s="12" t="n">
        <v>4</v>
      </c>
      <c r="I19" s="12" t="n">
        <v>2</v>
      </c>
      <c r="J19" s="12" t="n">
        <v>2</v>
      </c>
      <c r="K19" s="12" t="n">
        <v>1</v>
      </c>
      <c r="L19" s="12" t="inlineStr">
        <is>
          <t>起動(特定地域上空)</t>
        </is>
      </c>
      <c r="M19" s="15" t="inlineStr">
        <is>
          <t>この衛星が別地域から地域D,F,Hの上空に突入したとき、燃料を2回復する。</t>
        </is>
      </c>
      <c r="N19" s="12" t="inlineStr">
        <is>
          <t>ジオサーマルリフィル</t>
        </is>
      </c>
      <c r="O19" s="12" t="n">
        <v>82</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ROW()-1+66</f>
        <v/>
      </c>
      <c r="B20" s="9">
        <f>"P"&amp;TEXT(A20,"000")</f>
        <v/>
      </c>
      <c r="C20" s="9" t="n">
        <v>0</v>
      </c>
      <c r="D20" s="9" t="n">
        <v>6</v>
      </c>
      <c r="E20" s="9" t="n">
        <v>6</v>
      </c>
      <c r="F20" s="9">
        <f t="array" ref="F20">_xlfn.XLOOKUP(D20,phase!$A$2:$A$9,phase!$C$2:$C$9)</f>
        <v/>
      </c>
      <c r="G20" s="9">
        <f t="array" ref="G20">IF(F20="N",_xlfn.XLOOKUP(E20,phase!$A$2:$A$9,phase!$C$2:$C$9),F20)</f>
        <v/>
      </c>
      <c r="H20" s="9" t="n">
        <v>4</v>
      </c>
      <c r="I20" s="9" t="n">
        <v>2</v>
      </c>
      <c r="J20" s="9" t="n">
        <v>2</v>
      </c>
      <c r="K20" s="9" t="n">
        <v>1</v>
      </c>
      <c r="L20" s="9" t="inlineStr">
        <is>
          <t>常時</t>
        </is>
      </c>
      <c r="M20" s="16" t="inlineStr">
        <is>
          <t>この衛星は、他の衛星とニアミスしたとき消費する燃料は1で済む</t>
        </is>
      </c>
      <c r="N20" s="9" t="inlineStr">
        <is>
          <t>ケスラー回避システム</t>
        </is>
      </c>
      <c r="O20" s="9" t="n">
        <v>86</v>
      </c>
      <c r="P20" s="9">
        <f>"P"&amp;TEXT(O20,"000")&amp;".png"</f>
        <v/>
      </c>
      <c r="Q20" s="9">
        <f>fix!$B$2 &amp; "/" &amp; P20</f>
        <v/>
      </c>
      <c r="R20" s="9" t="n"/>
      <c r="S20" s="9" t="inlineStr">
        <is>
          <t>緊急回避用ジェット</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ROW()-1+66</f>
        <v/>
      </c>
      <c r="B21" s="12">
        <f>"P"&amp;TEXT(A21,"000")</f>
        <v/>
      </c>
      <c r="C21" s="12" t="n">
        <v>0</v>
      </c>
      <c r="D21" s="12" t="n">
        <v>6</v>
      </c>
      <c r="E21" s="12" t="n">
        <v>6</v>
      </c>
      <c r="F21" s="12">
        <f t="array" ref="F21">_xlfn.XLOOKUP(D21,phase!$A$2:$A$9,phase!$C$2:$C$9)</f>
        <v/>
      </c>
      <c r="G21" s="12">
        <f t="array" ref="G21">IF(F21="N",_xlfn.XLOOKUP(E21,phase!$A$2:$A$9,phase!$C$2:$C$9),F21)</f>
        <v/>
      </c>
      <c r="H21" s="12" t="n">
        <v>4</v>
      </c>
      <c r="I21" s="12" t="n">
        <v>3</v>
      </c>
      <c r="J21" s="12" t="n">
        <v>2</v>
      </c>
      <c r="K21" s="12" t="n">
        <v>1</v>
      </c>
      <c r="L21" s="12" t="inlineStr">
        <is>
          <t>起動(通信確立上空)</t>
        </is>
      </c>
      <c r="M21" s="15" t="inlineStr">
        <is>
          <t>この衛星が自分の通信確立済み区域の上空に突入したとき、3[マネー]支払ってもよい。そうした場合、プロジェクトカードを1枚引く</t>
        </is>
      </c>
      <c r="N21" s="12" t="inlineStr">
        <is>
          <t>データダウンリンク</t>
        </is>
      </c>
      <c r="O21" s="12" t="n">
        <v>88</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ROW()-1+66</f>
        <v/>
      </c>
      <c r="B22" s="9">
        <f>"P"&amp;TEXT(A22,"000")</f>
        <v/>
      </c>
      <c r="C22" s="9" t="n">
        <v>0</v>
      </c>
      <c r="D22" s="9" t="n">
        <v>6</v>
      </c>
      <c r="E22" s="9" t="n">
        <v>6</v>
      </c>
      <c r="F22" s="9">
        <f t="array" ref="F22">_xlfn.XLOOKUP(D22,phase!$A$2:$A$9,phase!$C$2:$C$9)</f>
        <v/>
      </c>
      <c r="G22" s="9">
        <f t="array" ref="G22">IF(F22="N",_xlfn.XLOOKUP(E22,phase!$A$2:$A$9,phase!$C$2:$C$9),F22)</f>
        <v/>
      </c>
      <c r="H22" s="9" t="n">
        <v>4</v>
      </c>
      <c r="I22" s="9" t="n">
        <v>3</v>
      </c>
      <c r="J22" s="9" t="n">
        <v>2</v>
      </c>
      <c r="K22" s="9" t="n">
        <v>1</v>
      </c>
      <c r="L22" s="9" t="inlineStr">
        <is>
          <t>起動(循環)</t>
        </is>
      </c>
      <c r="M22" s="16" t="inlineStr">
        <is>
          <t>循環フェイズ開始時、プロジェクトカードを1枚引く。その後、手札からプロジェクトカードを1枚捨てる。</t>
        </is>
      </c>
      <c r="N22" s="9" t="inlineStr">
        <is>
          <t>データローリング</t>
        </is>
      </c>
      <c r="O22" s="9" t="n">
        <v>89</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ROW()-1+66</f>
        <v/>
      </c>
      <c r="B23" s="12">
        <f>"P"&amp;TEXT(A23,"000")</f>
        <v/>
      </c>
      <c r="C23" s="12" t="n">
        <v>0</v>
      </c>
      <c r="D23" s="12" t="n">
        <v>6</v>
      </c>
      <c r="E23" s="12" t="n">
        <v>6</v>
      </c>
      <c r="F23" s="12">
        <f t="array" ref="F23">_xlfn.XLOOKUP(D23,phase!$A$2:$A$9,phase!$C$2:$C$9)</f>
        <v/>
      </c>
      <c r="G23" s="12">
        <f t="array" ref="G23">IF(F23="N",_xlfn.XLOOKUP(E23,phase!$A$2:$A$9,phase!$C$2:$C$9),F23)</f>
        <v/>
      </c>
      <c r="H23" s="12" t="n">
        <v>5</v>
      </c>
      <c r="I23" s="12" t="n">
        <v>2</v>
      </c>
      <c r="J23" s="12" t="n">
        <v>2</v>
      </c>
      <c r="K23" s="12" t="n">
        <v>1</v>
      </c>
      <c r="L23" s="12" t="inlineStr">
        <is>
          <t>起動(着陸)</t>
        </is>
      </c>
      <c r="M23" s="15" t="inlineStr">
        <is>
          <t>自分の衛星が着陸/着水したとき、 +8[マネー]</t>
        </is>
      </c>
      <c r="N23" s="12" t="inlineStr">
        <is>
          <t>ハイゲンスダウン</t>
        </is>
      </c>
      <c r="O23" s="12" t="n">
        <v>83</v>
      </c>
      <c r="P23" s="12">
        <f>"P"&amp;TEXT(O23,"000")&amp;".png"</f>
        <v/>
      </c>
      <c r="Q23" s="12">
        <f>fix!$B$2 &amp; "/" &amp; P23</f>
        <v/>
      </c>
      <c r="R23" s="12" t="n"/>
      <c r="S23" s="12" t="inlineStr">
        <is>
          <t>耐衝撃ボディ</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ROW()-1+66</f>
        <v/>
      </c>
      <c r="B24" s="9">
        <f>"P"&amp;TEXT(A24,"000")</f>
        <v/>
      </c>
      <c r="C24" s="9" t="n">
        <v>0</v>
      </c>
      <c r="D24" s="9" t="n">
        <v>6</v>
      </c>
      <c r="E24" s="9" t="n">
        <v>6</v>
      </c>
      <c r="F24" s="9">
        <f t="array" ref="F24">_xlfn.XLOOKUP(D24,phase!$A$2:$A$9,phase!$C$2:$C$9)</f>
        <v/>
      </c>
      <c r="G24" s="9">
        <f t="array" ref="G24">IF(F24="N",_xlfn.XLOOKUP(E24,phase!$A$2:$A$9,phase!$C$2:$C$9),F24)</f>
        <v/>
      </c>
      <c r="H24" s="9" t="n">
        <v>5</v>
      </c>
      <c r="I24" s="9" t="n">
        <v>2</v>
      </c>
      <c r="J24" s="9" t="n">
        <v>2</v>
      </c>
      <c r="K24" s="9" t="n">
        <v>1</v>
      </c>
      <c r="L24" s="9" t="inlineStr">
        <is>
          <t>起動(着陸)</t>
        </is>
      </c>
      <c r="M24" s="16" t="inlineStr">
        <is>
          <t>自分の衛星が陸区域に着陸したとき、+15[マネー]</t>
        </is>
      </c>
      <c r="N24" s="9" t="inlineStr">
        <is>
          <t>ランディングダウン</t>
        </is>
      </c>
      <c r="O24" s="9" t="n">
        <v>84</v>
      </c>
      <c r="P24" s="9">
        <f>"P"&amp;TEXT(O24,"000")&amp;".png"</f>
        <v/>
      </c>
      <c r="Q24" s="9">
        <f>fix!$B$2 &amp; "/" &amp; P24</f>
        <v/>
      </c>
      <c r="R24" s="9" t="n"/>
      <c r="S24" s="9" t="inlineStr">
        <is>
          <t>着陸用の脚</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ROW()-1+66</f>
        <v/>
      </c>
      <c r="B25" s="12">
        <f>"P"&amp;TEXT(A25,"000")</f>
        <v/>
      </c>
      <c r="C25" s="12" t="n">
        <v>0</v>
      </c>
      <c r="D25" s="12" t="n">
        <v>6</v>
      </c>
      <c r="E25" s="12" t="n">
        <v>6</v>
      </c>
      <c r="F25" s="12">
        <f t="array" ref="F25">_xlfn.XLOOKUP(D25,phase!$A$2:$A$9,phase!$C$2:$C$9)</f>
        <v/>
      </c>
      <c r="G25" s="12">
        <f t="array" ref="G25">IF(F25="N",_xlfn.XLOOKUP(E25,phase!$A$2:$A$9,phase!$C$2:$C$9),F25)</f>
        <v/>
      </c>
      <c r="H25" s="12" t="n">
        <v>5</v>
      </c>
      <c r="I25" s="12" t="n">
        <v>2</v>
      </c>
      <c r="J25" s="12" t="n">
        <v>2</v>
      </c>
      <c r="K25" s="12" t="n">
        <v>1</v>
      </c>
      <c r="L25" s="12" t="inlineStr">
        <is>
          <t>起動(地域移動)</t>
        </is>
      </c>
      <c r="M25" s="15" t="inlineStr">
        <is>
          <t>この衛星が地域間を移動したとき、転回してもよい</t>
        </is>
      </c>
      <c r="N25" s="12" t="inlineStr">
        <is>
          <t>ギムバル制御</t>
        </is>
      </c>
      <c r="O25" s="12" t="n">
        <v>87</v>
      </c>
      <c r="P25" s="12">
        <f>"P"&amp;TEXT(O25,"000")&amp;".png"</f>
        <v/>
      </c>
      <c r="Q25" s="12">
        <f>fix!$B$2 &amp; "/" &amp; P25</f>
        <v/>
      </c>
      <c r="R25" s="12" t="n"/>
      <c r="S25" s="12" t="inlineStr">
        <is>
          <t>猫</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ROW()-1+66</f>
        <v/>
      </c>
      <c r="B26" s="9">
        <f>"P"&amp;TEXT(A26,"000")</f>
        <v/>
      </c>
      <c r="C26" s="9" t="n">
        <v>0</v>
      </c>
      <c r="D26" s="9" t="n">
        <v>6</v>
      </c>
      <c r="E26" s="9" t="n">
        <v>6</v>
      </c>
      <c r="F26" s="9">
        <f t="array" ref="F26">_xlfn.XLOOKUP(D26,phase!$A$2:$A$9,phase!$C$2:$C$9)</f>
        <v/>
      </c>
      <c r="G26" s="9">
        <f t="array" ref="G26">IF(F26="N",_xlfn.XLOOKUP(E26,phase!$A$2:$A$9,phase!$C$2:$C$9),F26)</f>
        <v/>
      </c>
      <c r="H26" s="9" t="n">
        <v>5</v>
      </c>
      <c r="I26" s="9" t="n">
        <v>2</v>
      </c>
      <c r="J26" s="9" t="n">
        <v>2</v>
      </c>
      <c r="K26" s="9" t="n">
        <v>1</v>
      </c>
      <c r="L26" s="9" t="inlineStr">
        <is>
          <t>起動(地域移動)</t>
        </is>
      </c>
      <c r="M26" s="16" t="inlineStr">
        <is>
          <t>この衛星が地域間を移動したとき、この衛星は1区域追加で循環してもよい。そうした場合、移動した先の区域でニアミス判定は行われる</t>
        </is>
      </c>
      <c r="N26" s="9" t="inlineStr">
        <is>
          <t>カスケードブースト</t>
        </is>
      </c>
      <c r="O26" s="9" t="n">
        <v>93</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ROW()-1+66</f>
        <v/>
      </c>
      <c r="B27" s="12">
        <f>"P"&amp;TEXT(A27,"000")</f>
        <v/>
      </c>
      <c r="C27" s="12" t="n">
        <v>0</v>
      </c>
      <c r="D27" s="12" t="n">
        <v>6</v>
      </c>
      <c r="E27" s="12" t="n">
        <v>6</v>
      </c>
      <c r="F27" s="12">
        <f t="array" ref="F27">_xlfn.XLOOKUP(D27,phase!$A$2:$A$9,phase!$C$2:$C$9)</f>
        <v/>
      </c>
      <c r="G27" s="12">
        <f t="array" ref="G27">IF(F27="N",_xlfn.XLOOKUP(E27,phase!$A$2:$A$9,phase!$C$2:$C$9),F27)</f>
        <v/>
      </c>
      <c r="H27" s="12" t="n">
        <v>6</v>
      </c>
      <c r="I27" s="12" t="n">
        <v>2</v>
      </c>
      <c r="J27" s="12" t="n">
        <v>2</v>
      </c>
      <c r="K27" s="12" t="n">
        <v>1</v>
      </c>
      <c r="L27" s="12" t="inlineStr">
        <is>
          <t>起動(着陸)</t>
        </is>
      </c>
      <c r="M27" s="15" t="inlineStr">
        <is>
          <t>自分の衛星が海区域に着水したとき、+10[マネー]</t>
        </is>
      </c>
      <c r="N27" s="12" t="inlineStr">
        <is>
          <t>スプラッシュダウン</t>
        </is>
      </c>
      <c r="O27" s="12" t="n">
        <v>85</v>
      </c>
      <c r="P27" s="12">
        <f>"P"&amp;TEXT(O27,"000")&amp;".png"</f>
        <v/>
      </c>
      <c r="Q27" s="12">
        <f>fix!$B$2 &amp; "/" &amp; P27</f>
        <v/>
      </c>
      <c r="R27" s="12" t="n"/>
      <c r="S27" s="12" t="inlineStr">
        <is>
          <t>ドルフィンシールド</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ROW()-1+66</f>
        <v/>
      </c>
      <c r="B28" s="9">
        <f>"P"&amp;TEXT(A28,"000")</f>
        <v/>
      </c>
      <c r="C28" s="9" t="n">
        <v>0</v>
      </c>
      <c r="D28" s="9" t="n">
        <v>6</v>
      </c>
      <c r="E28" s="9" t="n">
        <v>6</v>
      </c>
      <c r="F28" s="9">
        <f t="array" ref="F28">_xlfn.XLOOKUP(D28,phase!$A$2:$A$9,phase!$C$2:$C$9)</f>
        <v/>
      </c>
      <c r="G28" s="9">
        <f t="array" ref="G28">IF(F28="N",_xlfn.XLOOKUP(E28,phase!$A$2:$A$9,phase!$C$2:$C$9),F28)</f>
        <v/>
      </c>
      <c r="H28" s="9" t="n">
        <v>6</v>
      </c>
      <c r="I28" s="9" t="n">
        <v>2</v>
      </c>
      <c r="J28" s="9" t="n">
        <v>2</v>
      </c>
      <c r="K28" s="9" t="n">
        <v>1</v>
      </c>
      <c r="L28" s="9" t="inlineStr">
        <is>
          <t>起動(通信確立上空)</t>
        </is>
      </c>
      <c r="M28" s="16" t="inlineStr">
        <is>
          <t>この衛星が自分の通信確立済み区域の上空に突入したとき、+3[マネー]</t>
        </is>
      </c>
      <c r="N28" s="9" t="inlineStr">
        <is>
          <t>オービタル72</t>
        </is>
      </c>
      <c r="O28" s="9" t="n">
        <v>92</v>
      </c>
      <c r="P28" s="9">
        <f>"P"&amp;TEXT(O28,"000")&amp;".png"</f>
        <v/>
      </c>
      <c r="Q28" s="9">
        <f>fix!$B$2 &amp; "/" &amp; P28</f>
        <v/>
      </c>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ROW()-1+66</f>
        <v/>
      </c>
      <c r="B29" s="12">
        <f>"P"&amp;TEXT(A29,"000")</f>
        <v/>
      </c>
      <c r="C29" s="12" t="n">
        <v>0</v>
      </c>
      <c r="D29" s="12" t="n">
        <v>6</v>
      </c>
      <c r="E29" s="12" t="n">
        <v>6</v>
      </c>
      <c r="F29" s="12">
        <f t="array" ref="F29">_xlfn.XLOOKUP(D29,phase!$A$2:$A$9,phase!$C$2:$C$9)</f>
        <v/>
      </c>
      <c r="G29" s="12">
        <f t="array" ref="G29">IF(F29="N",_xlfn.XLOOKUP(E29,phase!$A$2:$A$9,phase!$C$2:$C$9),F29)</f>
        <v/>
      </c>
      <c r="H29" s="12" t="n">
        <v>6</v>
      </c>
      <c r="I29" s="12" t="n">
        <v>2</v>
      </c>
      <c r="J29" s="12" t="n">
        <v>2</v>
      </c>
      <c r="K29" s="12" t="n">
        <v>1</v>
      </c>
      <c r="L29" s="12" t="inlineStr">
        <is>
          <t>常時</t>
        </is>
      </c>
      <c r="M29" s="15" t="inlineStr">
        <is>
          <t>この衛星に[Crew],[Device],[Software]が配備されているならば、この衛星はニアミスしない。その区域にある他の衛星が1機以下であれば、その衛星もニアミスしたとみなされない。</t>
        </is>
      </c>
      <c r="N29" s="12" t="inlineStr">
        <is>
          <t>デコンフリクト</t>
        </is>
      </c>
      <c r="O29" s="12" t="n">
        <v>94</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ROW()-1+66</f>
        <v/>
      </c>
      <c r="B30" s="9">
        <f>"P"&amp;TEXT(A30,"000")</f>
        <v/>
      </c>
      <c r="C30" s="9" t="n">
        <v>0</v>
      </c>
      <c r="D30" s="9" t="n">
        <v>6</v>
      </c>
      <c r="E30" s="9" t="n">
        <v>6</v>
      </c>
      <c r="F30" s="9">
        <f t="array" ref="F30">_xlfn.XLOOKUP(D30,phase!$A$2:$A$9,phase!$C$2:$C$9)</f>
        <v/>
      </c>
      <c r="G30" s="9">
        <f t="array" ref="G30">IF(F30="N",_xlfn.XLOOKUP(E30,phase!$A$2:$A$9,phase!$C$2:$C$9),F30)</f>
        <v/>
      </c>
      <c r="H30" s="9" t="n">
        <v>7</v>
      </c>
      <c r="I30" s="9" t="n">
        <v>2</v>
      </c>
      <c r="J30" s="9" t="n">
        <v>2</v>
      </c>
      <c r="K30" s="9" t="n">
        <v>1</v>
      </c>
      <c r="L30" s="9" t="inlineStr">
        <is>
          <t>起動(通信確立上空)</t>
        </is>
      </c>
      <c r="M30" s="16" t="inlineStr">
        <is>
          <t>この衛星が自分の通信確立済み区域の上空に突入したとき、転回してもよい</t>
        </is>
      </c>
      <c r="N30" s="9" t="inlineStr">
        <is>
          <t>フリップマニューバ</t>
        </is>
      </c>
      <c r="O30" s="9" t="n">
        <v>95</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ROW()-1+66</f>
        <v/>
      </c>
      <c r="B31" s="12">
        <f>"P"&amp;TEXT(A31,"000")</f>
        <v/>
      </c>
      <c r="C31" s="12" t="n">
        <v>0</v>
      </c>
      <c r="D31" s="12" t="n">
        <v>6</v>
      </c>
      <c r="E31" s="12" t="n">
        <v>6</v>
      </c>
      <c r="F31" s="12">
        <f t="array" ref="F31">_xlfn.XLOOKUP(D31,phase!$A$2:$A$9,phase!$C$2:$C$9)</f>
        <v/>
      </c>
      <c r="G31" s="12">
        <f t="array" ref="G31">IF(F31="N",_xlfn.XLOOKUP(E31,phase!$A$2:$A$9,phase!$C$2:$C$9),F31)</f>
        <v/>
      </c>
      <c r="H31" s="12" t="n">
        <v>7</v>
      </c>
      <c r="I31" s="12" t="n">
        <v>3</v>
      </c>
      <c r="J31" s="12" t="n">
        <v>2</v>
      </c>
      <c r="K31" s="12" t="n">
        <v>1</v>
      </c>
      <c r="L31" s="12" t="inlineStr">
        <is>
          <t>起動(特定地域上空)</t>
        </is>
      </c>
      <c r="M31" s="15" t="inlineStr">
        <is>
          <t>この衛星が別地域から地域A,C,Fの上空に突入したとき、特殊通信確立コストを支払ってもよい。そうした場合、この衛星は通信確立する。</t>
        </is>
      </c>
      <c r="N31" s="12" t="inlineStr">
        <is>
          <t>アルファリンク</t>
        </is>
      </c>
      <c r="O31" s="12" t="n">
        <v>96</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ROW()-1+66</f>
        <v/>
      </c>
      <c r="B32" s="9">
        <f>"P"&amp;TEXT(A32,"000")</f>
        <v/>
      </c>
      <c r="C32" s="9" t="n">
        <v>0</v>
      </c>
      <c r="D32" s="9" t="n">
        <v>6</v>
      </c>
      <c r="E32" s="9" t="n">
        <v>6</v>
      </c>
      <c r="F32" s="9">
        <f t="array" ref="F32">_xlfn.XLOOKUP(D32,phase!$A$2:$A$9,phase!$C$2:$C$9)</f>
        <v/>
      </c>
      <c r="G32" s="9">
        <f t="array" ref="G32">IF(F32="N",_xlfn.XLOOKUP(E32,phase!$A$2:$A$9,phase!$C$2:$C$9),F32)</f>
        <v/>
      </c>
      <c r="H32" s="9" t="n">
        <v>7</v>
      </c>
      <c r="I32" s="9" t="n">
        <v>3</v>
      </c>
      <c r="J32" s="9" t="n">
        <v>2</v>
      </c>
      <c r="K32" s="9" t="n">
        <v>1</v>
      </c>
      <c r="L32" s="9" t="inlineStr">
        <is>
          <t>起動(特定地域上空)</t>
        </is>
      </c>
      <c r="M32" s="16" t="inlineStr">
        <is>
          <t>この衛星が別地域から地域B,D,Gの上空に突入したとき、特殊通信確立コストを支払ってもよい。そうした場合、この衛星は通信確立する。</t>
        </is>
      </c>
      <c r="N32" s="9" t="inlineStr">
        <is>
          <t>ベータリンク</t>
        </is>
      </c>
      <c r="O32" s="9" t="n">
        <v>97</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ROW()-1+66</f>
        <v/>
      </c>
      <c r="B33" s="12">
        <f>"P"&amp;TEXT(A33,"000")</f>
        <v/>
      </c>
      <c r="C33" s="12" t="n">
        <v>0</v>
      </c>
      <c r="D33" s="12" t="n">
        <v>6</v>
      </c>
      <c r="E33" s="12" t="n">
        <v>6</v>
      </c>
      <c r="F33" s="12">
        <f t="array" ref="F33">_xlfn.XLOOKUP(D33,phase!$A$2:$A$9,phase!$C$2:$C$9)</f>
        <v/>
      </c>
      <c r="G33" s="12">
        <f t="array" ref="G33">IF(F33="N",_xlfn.XLOOKUP(E33,phase!$A$2:$A$9,phase!$C$2:$C$9),F33)</f>
        <v/>
      </c>
      <c r="H33" s="12" t="n">
        <v>9</v>
      </c>
      <c r="I33" s="12" t="n">
        <v>2</v>
      </c>
      <c r="J33" s="12" t="n">
        <v>2</v>
      </c>
      <c r="K33" s="12" t="n">
        <v>1</v>
      </c>
      <c r="L33" s="12" t="inlineStr">
        <is>
          <t>起動(通信確立上空)</t>
        </is>
      </c>
      <c r="M33" s="15" t="inlineStr">
        <is>
          <t>この衛星が自分の通信確立済み区域の上空に突入したとき、特殊通信確立コストを支払ってもよい。そうした場合、この衛星の進行方向後方の区域を通信確立する</t>
        </is>
      </c>
      <c r="N33" s="12" t="inlineStr">
        <is>
          <t>バックリンク</t>
        </is>
      </c>
      <c r="O33" s="12" t="n">
        <v>98</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ROW()-1+66</f>
        <v/>
      </c>
      <c r="B34" s="9">
        <f>"P"&amp;TEXT(A34,"000")</f>
        <v/>
      </c>
      <c r="C34" s="9" t="n">
        <v>0</v>
      </c>
      <c r="D34" s="9" t="n">
        <v>6</v>
      </c>
      <c r="E34" s="9" t="n">
        <v>6</v>
      </c>
      <c r="F34" s="9">
        <f t="array" ref="F34">_xlfn.XLOOKUP(D34,phase!$A$2:$A$9,phase!$C$2:$C$9)</f>
        <v/>
      </c>
      <c r="G34" s="9">
        <f t="array" ref="G34">IF(F34="N",_xlfn.XLOOKUP(E34,phase!$A$2:$A$9,phase!$C$2:$C$9),F34)</f>
        <v/>
      </c>
      <c r="H34" s="9" t="n">
        <v>11</v>
      </c>
      <c r="I34" s="9" t="n">
        <v>2</v>
      </c>
      <c r="J34" s="9" t="n">
        <v>2</v>
      </c>
      <c r="K34" s="9" t="n">
        <v>1</v>
      </c>
      <c r="L34" s="9" t="inlineStr">
        <is>
          <t>起動(地域移動)</t>
        </is>
      </c>
      <c r="M34" s="16" t="inlineStr">
        <is>
          <t>この衛星が地域間を移動したとき、特殊通信確立コスト支払って通信確立してもよい</t>
        </is>
      </c>
      <c r="N34" s="9" t="inlineStr">
        <is>
          <t>フライバイリンク</t>
        </is>
      </c>
      <c r="O34" s="9" t="n">
        <v>99</v>
      </c>
      <c r="P34" s="9">
        <f>"P"&amp;TEXT(O34,"000")&amp;".png"</f>
        <v/>
      </c>
      <c r="Q34" s="9">
        <f>fix!$B$2 &amp; "/" &amp; P34</f>
        <v/>
      </c>
      <c r="R34" s="9" t="n"/>
      <c r="S34" s="9" t="inlineStr">
        <is>
          <t>渡り鳥</t>
        </is>
      </c>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M980"/>
  <sheetViews>
    <sheetView workbookViewId="0">
      <selection activeCell="A1" sqref="A1"/>
    </sheetView>
  </sheetViews>
  <sheetFormatPr baseColWidth="8" defaultColWidth="12.63" defaultRowHeight="15.75" customHeight="1"/>
  <cols>
    <col width="10" customWidth="1" style="17" min="1" max="1"/>
    <col width="8.25" customWidth="1" style="17" min="2" max="2"/>
    <col width="6.38" customWidth="1" style="17" min="3" max="4"/>
    <col width="67.63" customWidth="1" style="17" min="5" max="5"/>
    <col width="6.38" customWidth="1" style="17" min="6" max="6"/>
    <col width="6.5" customWidth="1" style="17" min="7" max="7"/>
    <col width="6" customWidth="1" style="17" min="8" max="8"/>
    <col width="7.5" customWidth="1" style="17" min="9" max="9"/>
    <col width="10.25" customWidth="1" style="17" min="10" max="10"/>
    <col width="42.13" customWidth="1" style="17" min="11" max="11"/>
  </cols>
  <sheetData>
    <row r="1">
      <c r="A1" s="3" t="inlineStr">
        <is>
          <t>country_id</t>
        </is>
      </c>
      <c r="B1" s="3" t="inlineStr">
        <is>
          <t>country</t>
        </is>
      </c>
      <c r="C1" s="3" t="inlineStr">
        <is>
          <t>color_id</t>
        </is>
      </c>
      <c r="D1" s="3" t="inlineStr">
        <is>
          <t>color</t>
        </is>
      </c>
      <c r="E1" s="3" t="inlineStr">
        <is>
          <t>@colorpath</t>
        </is>
      </c>
      <c r="F1" s="3" t="inlineStr">
        <is>
          <t>cost</t>
        </is>
      </c>
      <c r="G1" s="3" t="inlineStr">
        <is>
          <t>score</t>
        </is>
      </c>
      <c r="H1" s="3" t="inlineStr">
        <is>
          <t>power</t>
        </is>
      </c>
      <c r="I1" s="13" t="inlineStr">
        <is>
          <t>running</t>
        </is>
      </c>
      <c r="J1" s="13" t="inlineStr">
        <is>
          <t>condition</t>
        </is>
      </c>
      <c r="K1" s="13" t="inlineStr">
        <is>
          <t>effect</t>
        </is>
      </c>
      <c r="L1" s="3" t="inlineStr">
        <is>
          <t>name</t>
        </is>
      </c>
      <c r="M1" s="3" t="inlineStr">
        <is>
          <t>rname</t>
        </is>
      </c>
    </row>
    <row r="2">
      <c r="A2" s="3" t="n">
        <v>0</v>
      </c>
      <c r="B2" s="3">
        <f t="array" ref="B2">_xlfn.XLOOKUP(A2,country!$A$2:$A$6,country!$B$2:$B$6)</f>
        <v/>
      </c>
      <c r="C2" s="3" t="n">
        <v>1</v>
      </c>
      <c r="D2" s="3">
        <f t="array" ref="D2">_xlfn.XLOOKUP(C2,country!$A$2:$A$6,country!$C$2:$C$6)</f>
        <v/>
      </c>
      <c r="E2" s="3">
        <f>fix!$B$3 &amp; "/" &amp; D2 &amp; "_base.ai"</f>
        <v/>
      </c>
      <c r="F2" s="3" t="n">
        <v>10</v>
      </c>
      <c r="G2" s="3" t="n">
        <v>5</v>
      </c>
      <c r="H2" s="3" t="n">
        <v>1</v>
      </c>
      <c r="I2" s="13" t="n"/>
      <c r="J2" s="13" t="inlineStr">
        <is>
          <t>打ち上げ時</t>
        </is>
      </c>
      <c r="K2" s="13" t="inlineStr">
        <is>
          <t>打ち上げ時、プロジェクトカードを1枚引く</t>
        </is>
      </c>
      <c r="L2" s="3" t="inlineStr">
        <is>
          <t>hammer</t>
        </is>
      </c>
      <c r="M2" s="3">
        <f>upper(L2)</f>
        <v/>
      </c>
    </row>
    <row r="3">
      <c r="A3" s="3" t="n">
        <v>0</v>
      </c>
      <c r="B3" s="3">
        <f t="array" ref="B3">_xlfn.XLOOKUP(A3,country!$A$2:$A$6,country!$B$2:$B$6)</f>
        <v/>
      </c>
      <c r="C3" s="3" t="n">
        <v>1</v>
      </c>
      <c r="D3" s="3">
        <f t="array" ref="D3">_xlfn.XLOOKUP(C3,country!$A$2:$A$6,country!$C$2:$C$6)</f>
        <v/>
      </c>
      <c r="E3" s="3">
        <f>fix!$B$3 &amp; "/" &amp; D3 &amp; "_base.ai"</f>
        <v/>
      </c>
      <c r="F3" s="3" t="n">
        <v>20</v>
      </c>
      <c r="G3" s="3" t="n">
        <v>5</v>
      </c>
      <c r="H3" s="3" t="n">
        <v>1</v>
      </c>
      <c r="I3" s="13" t="n"/>
      <c r="J3" s="13" t="inlineStr">
        <is>
          <t>打ち上げ時</t>
        </is>
      </c>
      <c r="K3" s="13" t="inlineStr">
        <is>
          <t>打ち上げ時、予算+2</t>
        </is>
      </c>
      <c r="L3" s="3" t="inlineStr">
        <is>
          <t>retro</t>
        </is>
      </c>
      <c r="M3" s="3">
        <f>upper(L3)</f>
        <v/>
      </c>
    </row>
    <row r="4">
      <c r="A4" s="3" t="n">
        <v>0</v>
      </c>
      <c r="B4" s="3">
        <f t="array" ref="B4">_xlfn.XLOOKUP(A4,country!$A$2:$A$6,country!$B$2:$B$6)</f>
        <v/>
      </c>
      <c r="C4" s="3" t="n">
        <v>1</v>
      </c>
      <c r="D4" s="3">
        <f t="array" ref="D4">_xlfn.XLOOKUP(C4,country!$A$2:$A$6,country!$C$2:$C$6)</f>
        <v/>
      </c>
      <c r="E4" s="3">
        <f>fix!$B$3 &amp; "/" &amp; D4 &amp; "_base.ai"</f>
        <v/>
      </c>
      <c r="F4" s="3" t="n">
        <v>20</v>
      </c>
      <c r="G4" s="3" t="n">
        <v>10</v>
      </c>
      <c r="H4" s="3" t="n">
        <v>1</v>
      </c>
      <c r="I4" s="13" t="n"/>
      <c r="J4" s="13" t="inlineStr">
        <is>
          <t>打ち上げ時</t>
        </is>
      </c>
      <c r="K4" s="13" t="inlineStr">
        <is>
          <t>打ち上げ時、プロジェクトカードを3枚引く</t>
        </is>
      </c>
      <c r="L4" s="3" t="inlineStr">
        <is>
          <t>scallop</t>
        </is>
      </c>
      <c r="M4" s="3">
        <f>upper(L4)</f>
        <v/>
      </c>
    </row>
    <row r="5">
      <c r="A5" s="3" t="n">
        <v>0</v>
      </c>
      <c r="B5" s="3">
        <f t="array" ref="B5">_xlfn.XLOOKUP(A5,country!$A$2:$A$6,country!$B$2:$B$6)</f>
        <v/>
      </c>
      <c r="C5" s="3" t="n">
        <v>1</v>
      </c>
      <c r="D5" s="3">
        <f t="array" ref="D5">_xlfn.XLOOKUP(C5,country!$A$2:$A$6,country!$C$2:$C$6)</f>
        <v/>
      </c>
      <c r="E5" s="3">
        <f>fix!$B$3 &amp; "/" &amp; D5 &amp; "_base.ai"</f>
        <v/>
      </c>
      <c r="F5" s="3" t="n">
        <v>30</v>
      </c>
      <c r="G5" s="3" t="n">
        <v>10</v>
      </c>
      <c r="H5" s="3" t="n">
        <v>1</v>
      </c>
      <c r="I5" s="13" t="n"/>
      <c r="J5" s="13" t="inlineStr">
        <is>
          <t>打ち上げ時</t>
        </is>
      </c>
      <c r="K5" s="13" t="inlineStr">
        <is>
          <t>打ち上げ時、予算+3</t>
        </is>
      </c>
      <c r="L5" s="3" t="inlineStr">
        <is>
          <t>concorde</t>
        </is>
      </c>
      <c r="M5" s="3">
        <f>upper(L5)</f>
        <v/>
      </c>
    </row>
    <row r="6">
      <c r="A6" s="3" t="n">
        <v>0</v>
      </c>
      <c r="B6" s="3">
        <f t="array" ref="B6">_xlfn.XLOOKUP(A6,country!$A$2:$A$6,country!$B$2:$B$6)</f>
        <v/>
      </c>
      <c r="C6" s="3" t="n">
        <v>1</v>
      </c>
      <c r="D6" s="3">
        <f t="array" ref="D6">_xlfn.XLOOKUP(C6,country!$A$2:$A$6,country!$C$2:$C$6)</f>
        <v/>
      </c>
      <c r="E6" s="3">
        <f>fix!$B$3 &amp; "/" &amp; D6 &amp; "_base.ai"</f>
        <v/>
      </c>
      <c r="F6" s="3" t="n">
        <v>30</v>
      </c>
      <c r="G6" s="3" t="n">
        <v>15</v>
      </c>
      <c r="H6" s="3" t="n">
        <v>1</v>
      </c>
      <c r="I6" s="13" t="n"/>
      <c r="J6" s="13" t="inlineStr">
        <is>
          <t>打ち上げ時</t>
        </is>
      </c>
      <c r="K6" s="13" t="inlineStr">
        <is>
          <t>打ち上げ時、手札からプロジェクトカードを1枚選んで配備コストを支払ってこの衛星に配備してもよい</t>
        </is>
      </c>
      <c r="L6" s="3" t="inlineStr">
        <is>
          <t>stealth</t>
        </is>
      </c>
      <c r="M6" s="3">
        <f>upper(L6)</f>
        <v/>
      </c>
    </row>
    <row r="7">
      <c r="A7" s="3" t="n">
        <v>0</v>
      </c>
      <c r="B7" s="3">
        <f t="array" ref="B7">_xlfn.XLOOKUP(A7,country!$A$2:$A$6,country!$B$2:$B$6)</f>
        <v/>
      </c>
      <c r="C7" s="3" t="n">
        <v>2</v>
      </c>
      <c r="D7" s="3">
        <f t="array" ref="D7">_xlfn.XLOOKUP(C7,country!$A$2:$A$6,country!$C$2:$C$6)</f>
        <v/>
      </c>
      <c r="E7" s="3">
        <f>fix!$B$3 &amp; "/" &amp; D7 &amp; "_base.ai"</f>
        <v/>
      </c>
      <c r="F7" s="3" t="n">
        <v>10</v>
      </c>
      <c r="G7" s="3" t="n">
        <v>5</v>
      </c>
      <c r="H7" s="3" t="n">
        <v>1</v>
      </c>
      <c r="I7" s="13" t="n"/>
      <c r="J7" s="13" t="inlineStr">
        <is>
          <t>打ち上げ時</t>
        </is>
      </c>
      <c r="K7" s="13" t="inlineStr">
        <is>
          <t>打ち上げ時、プロジェクトカードを1枚引く</t>
        </is>
      </c>
      <c r="L7" s="3" t="inlineStr">
        <is>
          <t>hammer</t>
        </is>
      </c>
      <c r="M7" s="3">
        <f>upper(L7)</f>
        <v/>
      </c>
    </row>
    <row r="8">
      <c r="A8" s="3" t="n">
        <v>0</v>
      </c>
      <c r="B8" s="3">
        <f t="array" ref="B8">_xlfn.XLOOKUP(A8,country!$A$2:$A$6,country!$B$2:$B$6)</f>
        <v/>
      </c>
      <c r="C8" s="3" t="n">
        <v>2</v>
      </c>
      <c r="D8" s="3">
        <f t="array" ref="D8">_xlfn.XLOOKUP(C8,country!$A$2:$A$6,country!$C$2:$C$6)</f>
        <v/>
      </c>
      <c r="E8" s="3">
        <f>fix!$B$3 &amp; "/" &amp; D8 &amp; "_base.ai"</f>
        <v/>
      </c>
      <c r="F8" s="3" t="n">
        <v>20</v>
      </c>
      <c r="G8" s="3" t="n">
        <v>5</v>
      </c>
      <c r="H8" s="3" t="n">
        <v>1</v>
      </c>
      <c r="I8" s="13" t="n"/>
      <c r="J8" s="13" t="inlineStr">
        <is>
          <t>打ち上げ時</t>
        </is>
      </c>
      <c r="K8" s="13" t="inlineStr">
        <is>
          <t>打ち上げ時、予算+2</t>
        </is>
      </c>
      <c r="L8" s="3" t="inlineStr">
        <is>
          <t>retro</t>
        </is>
      </c>
      <c r="M8" s="3">
        <f>upper(L8)</f>
        <v/>
      </c>
    </row>
    <row r="9">
      <c r="A9" s="3" t="n">
        <v>0</v>
      </c>
      <c r="B9" s="3">
        <f t="array" ref="B9">_xlfn.XLOOKUP(A9,country!$A$2:$A$6,country!$B$2:$B$6)</f>
        <v/>
      </c>
      <c r="C9" s="3" t="n">
        <v>2</v>
      </c>
      <c r="D9" s="3">
        <f t="array" ref="D9">_xlfn.XLOOKUP(C9,country!$A$2:$A$6,country!$C$2:$C$6)</f>
        <v/>
      </c>
      <c r="E9" s="3">
        <f>fix!$B$3 &amp; "/" &amp; D9 &amp; "_base.ai"</f>
        <v/>
      </c>
      <c r="F9" s="3" t="n">
        <v>20</v>
      </c>
      <c r="G9" s="3" t="n">
        <v>10</v>
      </c>
      <c r="H9" s="3" t="n">
        <v>1</v>
      </c>
      <c r="I9" s="13" t="n"/>
      <c r="J9" s="13" t="inlineStr">
        <is>
          <t>打ち上げ時</t>
        </is>
      </c>
      <c r="K9" s="13" t="inlineStr">
        <is>
          <t>打ち上げ時、プロジェクトカードを3枚引く</t>
        </is>
      </c>
      <c r="L9" s="3" t="inlineStr">
        <is>
          <t>scallop</t>
        </is>
      </c>
      <c r="M9" s="3">
        <f>upper(L9)</f>
        <v/>
      </c>
    </row>
    <row r="10">
      <c r="A10" s="3" t="n">
        <v>0</v>
      </c>
      <c r="B10" s="3">
        <f t="array" ref="B10">_xlfn.XLOOKUP(A10,country!$A$2:$A$6,country!$B$2:$B$6)</f>
        <v/>
      </c>
      <c r="C10" s="3" t="n">
        <v>2</v>
      </c>
      <c r="D10" s="3">
        <f t="array" ref="D10">_xlfn.XLOOKUP(C10,country!$A$2:$A$6,country!$C$2:$C$6)</f>
        <v/>
      </c>
      <c r="E10" s="3">
        <f>fix!$B$3 &amp; "/" &amp; D10 &amp; "_base.ai"</f>
        <v/>
      </c>
      <c r="F10" s="3" t="n">
        <v>30</v>
      </c>
      <c r="G10" s="3" t="n">
        <v>10</v>
      </c>
      <c r="H10" s="3" t="n">
        <v>1</v>
      </c>
      <c r="I10" s="13" t="n"/>
      <c r="J10" s="13" t="inlineStr">
        <is>
          <t>打ち上げ時</t>
        </is>
      </c>
      <c r="K10" s="13" t="inlineStr">
        <is>
          <t>打ち上げ時、予算+3</t>
        </is>
      </c>
      <c r="L10" s="3" t="inlineStr">
        <is>
          <t>concorde</t>
        </is>
      </c>
      <c r="M10" s="3">
        <f>upper(L10)</f>
        <v/>
      </c>
    </row>
    <row r="11">
      <c r="A11" s="3" t="n">
        <v>0</v>
      </c>
      <c r="B11" s="3">
        <f t="array" ref="B11">_xlfn.XLOOKUP(A11,country!$A$2:$A$6,country!$B$2:$B$6)</f>
        <v/>
      </c>
      <c r="C11" s="3" t="n">
        <v>2</v>
      </c>
      <c r="D11" s="3">
        <f t="array" ref="D11">_xlfn.XLOOKUP(C11,country!$A$2:$A$6,country!$C$2:$C$6)</f>
        <v/>
      </c>
      <c r="E11" s="3">
        <f>fix!$B$3 &amp; "/" &amp; D11 &amp; "_base.ai"</f>
        <v/>
      </c>
      <c r="F11" s="3" t="n">
        <v>30</v>
      </c>
      <c r="G11" s="3" t="n">
        <v>15</v>
      </c>
      <c r="H11" s="3" t="n">
        <v>1</v>
      </c>
      <c r="I11" s="13" t="n"/>
      <c r="J11" s="13" t="inlineStr">
        <is>
          <t>打ち上げ時</t>
        </is>
      </c>
      <c r="K11" s="13" t="inlineStr">
        <is>
          <t>打ち上げ時、手札からプロジェクトカードを1枚選んで配備コストを支払ってこの衛星に配備してもよい</t>
        </is>
      </c>
      <c r="L11" s="3" t="inlineStr">
        <is>
          <t>stealth</t>
        </is>
      </c>
      <c r="M11" s="3">
        <f>upper(L11)</f>
        <v/>
      </c>
    </row>
    <row r="12">
      <c r="A12" s="3" t="n">
        <v>0</v>
      </c>
      <c r="B12" s="3">
        <f t="array" ref="B12">_xlfn.XLOOKUP(A12,country!$A$2:$A$6,country!$B$2:$B$6)</f>
        <v/>
      </c>
      <c r="C12" s="3" t="n">
        <v>3</v>
      </c>
      <c r="D12" s="3">
        <f t="array" ref="D12">_xlfn.XLOOKUP(C12,country!$A$2:$A$6,country!$C$2:$C$6)</f>
        <v/>
      </c>
      <c r="E12" s="3">
        <f>fix!$B$3 &amp; "/" &amp; D12 &amp; "_base.ai"</f>
        <v/>
      </c>
      <c r="F12" s="3" t="n">
        <v>10</v>
      </c>
      <c r="G12" s="3" t="n">
        <v>5</v>
      </c>
      <c r="H12" s="3" t="n">
        <v>1</v>
      </c>
      <c r="I12" s="13" t="n"/>
      <c r="J12" s="13" t="inlineStr">
        <is>
          <t>打ち上げ時</t>
        </is>
      </c>
      <c r="K12" s="13" t="inlineStr">
        <is>
          <t>打ち上げ時、プロジェクトカードを1枚引く</t>
        </is>
      </c>
      <c r="L12" s="3" t="inlineStr">
        <is>
          <t>hammer</t>
        </is>
      </c>
      <c r="M12" s="3">
        <f>upper(L12)</f>
        <v/>
      </c>
    </row>
    <row r="13">
      <c r="A13" s="3" t="n">
        <v>0</v>
      </c>
      <c r="B13" s="3">
        <f t="array" ref="B13">_xlfn.XLOOKUP(A13,country!$A$2:$A$6,country!$B$2:$B$6)</f>
        <v/>
      </c>
      <c r="C13" s="3" t="n">
        <v>3</v>
      </c>
      <c r="D13" s="3">
        <f t="array" ref="D13">_xlfn.XLOOKUP(C13,country!$A$2:$A$6,country!$C$2:$C$6)</f>
        <v/>
      </c>
      <c r="E13" s="3">
        <f>fix!$B$3 &amp; "/" &amp; D13 &amp; "_base.ai"</f>
        <v/>
      </c>
      <c r="F13" s="3" t="n">
        <v>20</v>
      </c>
      <c r="G13" s="3" t="n">
        <v>5</v>
      </c>
      <c r="H13" s="3" t="n">
        <v>1</v>
      </c>
      <c r="I13" s="13" t="n"/>
      <c r="J13" s="13" t="inlineStr">
        <is>
          <t>打ち上げ時</t>
        </is>
      </c>
      <c r="K13" s="13" t="inlineStr">
        <is>
          <t>打ち上げ時、予算+2</t>
        </is>
      </c>
      <c r="L13" s="3" t="inlineStr">
        <is>
          <t>retro</t>
        </is>
      </c>
      <c r="M13" s="3">
        <f>upper(L13)</f>
        <v/>
      </c>
    </row>
    <row r="14">
      <c r="A14" s="3" t="n">
        <v>0</v>
      </c>
      <c r="B14" s="3">
        <f t="array" ref="B14">_xlfn.XLOOKUP(A14,country!$A$2:$A$6,country!$B$2:$B$6)</f>
        <v/>
      </c>
      <c r="C14" s="3" t="n">
        <v>3</v>
      </c>
      <c r="D14" s="3">
        <f t="array" ref="D14">_xlfn.XLOOKUP(C14,country!$A$2:$A$6,country!$C$2:$C$6)</f>
        <v/>
      </c>
      <c r="E14" s="3">
        <f>fix!$B$3 &amp; "/" &amp; D14 &amp; "_base.ai"</f>
        <v/>
      </c>
      <c r="F14" s="3" t="n">
        <v>20</v>
      </c>
      <c r="G14" s="3" t="n">
        <v>10</v>
      </c>
      <c r="H14" s="3" t="n">
        <v>1</v>
      </c>
      <c r="I14" s="13" t="n"/>
      <c r="J14" s="13" t="inlineStr">
        <is>
          <t>打ち上げ時</t>
        </is>
      </c>
      <c r="K14" s="13" t="inlineStr">
        <is>
          <t>打ち上げ時、プロジェクトカードを3枚引く</t>
        </is>
      </c>
      <c r="L14" s="3" t="inlineStr">
        <is>
          <t>scallop</t>
        </is>
      </c>
      <c r="M14" s="3">
        <f>upper(L14)</f>
        <v/>
      </c>
    </row>
    <row r="15">
      <c r="A15" s="3" t="n">
        <v>0</v>
      </c>
      <c r="B15" s="3">
        <f t="array" ref="B15">_xlfn.XLOOKUP(A15,country!$A$2:$A$6,country!$B$2:$B$6)</f>
        <v/>
      </c>
      <c r="C15" s="3" t="n">
        <v>3</v>
      </c>
      <c r="D15" s="3">
        <f t="array" ref="D15">_xlfn.XLOOKUP(C15,country!$A$2:$A$6,country!$C$2:$C$6)</f>
        <v/>
      </c>
      <c r="E15" s="3">
        <f>fix!$B$3 &amp; "/" &amp; D15 &amp; "_base.ai"</f>
        <v/>
      </c>
      <c r="F15" s="3" t="n">
        <v>30</v>
      </c>
      <c r="G15" s="3" t="n">
        <v>10</v>
      </c>
      <c r="H15" s="3" t="n">
        <v>1</v>
      </c>
      <c r="I15" s="13" t="n"/>
      <c r="J15" s="13" t="inlineStr">
        <is>
          <t>打ち上げ時</t>
        </is>
      </c>
      <c r="K15" s="13" t="inlineStr">
        <is>
          <t>打ち上げ時、予算+3</t>
        </is>
      </c>
      <c r="L15" s="3" t="inlineStr">
        <is>
          <t>concorde</t>
        </is>
      </c>
      <c r="M15" s="3">
        <f>upper(L15)</f>
        <v/>
      </c>
    </row>
    <row r="16">
      <c r="A16" s="3" t="n">
        <v>0</v>
      </c>
      <c r="B16" s="3">
        <f t="array" ref="B16">_xlfn.XLOOKUP(A16,country!$A$2:$A$6,country!$B$2:$B$6)</f>
        <v/>
      </c>
      <c r="C16" s="3" t="n">
        <v>3</v>
      </c>
      <c r="D16" s="3">
        <f t="array" ref="D16">_xlfn.XLOOKUP(C16,country!$A$2:$A$6,country!$C$2:$C$6)</f>
        <v/>
      </c>
      <c r="E16" s="3">
        <f>fix!$B$3 &amp; "/" &amp; D16 &amp; "_base.ai"</f>
        <v/>
      </c>
      <c r="F16" s="3" t="n">
        <v>30</v>
      </c>
      <c r="G16" s="3" t="n">
        <v>15</v>
      </c>
      <c r="H16" s="3" t="n">
        <v>1</v>
      </c>
      <c r="I16" s="13" t="n"/>
      <c r="J16" s="13" t="inlineStr">
        <is>
          <t>打ち上げ時</t>
        </is>
      </c>
      <c r="K16" s="13" t="inlineStr">
        <is>
          <t>打ち上げ時、手札からプロジェクトカードを1枚選んで配備コストを支払ってこの衛星に配備してもよい</t>
        </is>
      </c>
      <c r="L16" s="3" t="inlineStr">
        <is>
          <t>stealth</t>
        </is>
      </c>
      <c r="M16" s="3">
        <f>upper(L16)</f>
        <v/>
      </c>
    </row>
    <row r="17">
      <c r="A17" s="3" t="n">
        <v>0</v>
      </c>
      <c r="B17" s="3">
        <f t="array" ref="B17">_xlfn.XLOOKUP(A17,country!$A$2:$A$6,country!$B$2:$B$6)</f>
        <v/>
      </c>
      <c r="C17" s="3" t="n">
        <v>4</v>
      </c>
      <c r="D17" s="3">
        <f t="array" ref="D17">_xlfn.XLOOKUP(C17,country!$A$2:$A$6,country!$C$2:$C$6)</f>
        <v/>
      </c>
      <c r="E17" s="3">
        <f>fix!$B$3 &amp; "/" &amp; D17 &amp; "_base.ai"</f>
        <v/>
      </c>
      <c r="F17" s="3" t="n">
        <v>10</v>
      </c>
      <c r="G17" s="3" t="n">
        <v>5</v>
      </c>
      <c r="H17" s="3" t="n">
        <v>1</v>
      </c>
      <c r="I17" s="13" t="n"/>
      <c r="J17" s="13" t="inlineStr">
        <is>
          <t>打ち上げ時</t>
        </is>
      </c>
      <c r="K17" s="13" t="inlineStr">
        <is>
          <t>打ち上げ時、プロジェクトカードを1枚引く</t>
        </is>
      </c>
      <c r="L17" s="3" t="inlineStr">
        <is>
          <t>hammer</t>
        </is>
      </c>
      <c r="M17" s="3">
        <f>upper(L17)</f>
        <v/>
      </c>
    </row>
    <row r="18">
      <c r="A18" s="3" t="n">
        <v>0</v>
      </c>
      <c r="B18" s="3">
        <f t="array" ref="B18">_xlfn.XLOOKUP(A18,country!$A$2:$A$6,country!$B$2:$B$6)</f>
        <v/>
      </c>
      <c r="C18" s="3" t="n">
        <v>4</v>
      </c>
      <c r="D18" s="3">
        <f t="array" ref="D18">_xlfn.XLOOKUP(C18,country!$A$2:$A$6,country!$C$2:$C$6)</f>
        <v/>
      </c>
      <c r="E18" s="3">
        <f>fix!$B$3 &amp; "/" &amp; D18 &amp; "_base.ai"</f>
        <v/>
      </c>
      <c r="F18" s="3" t="n">
        <v>20</v>
      </c>
      <c r="G18" s="3" t="n">
        <v>5</v>
      </c>
      <c r="H18" s="3" t="n">
        <v>1</v>
      </c>
      <c r="I18" s="13" t="n"/>
      <c r="J18" s="13" t="inlineStr">
        <is>
          <t>打ち上げ時</t>
        </is>
      </c>
      <c r="K18" s="13" t="inlineStr">
        <is>
          <t>打ち上げ時、予算+2</t>
        </is>
      </c>
      <c r="L18" s="3" t="inlineStr">
        <is>
          <t>retro</t>
        </is>
      </c>
      <c r="M18" s="3">
        <f>upper(L18)</f>
        <v/>
      </c>
    </row>
    <row r="19">
      <c r="A19" s="3" t="n">
        <v>0</v>
      </c>
      <c r="B19" s="3">
        <f t="array" ref="B19">_xlfn.XLOOKUP(A19,country!$A$2:$A$6,country!$B$2:$B$6)</f>
        <v/>
      </c>
      <c r="C19" s="3" t="n">
        <v>4</v>
      </c>
      <c r="D19" s="3">
        <f t="array" ref="D19">_xlfn.XLOOKUP(C19,country!$A$2:$A$6,country!$C$2:$C$6)</f>
        <v/>
      </c>
      <c r="E19" s="3">
        <f>fix!$B$3 &amp; "/" &amp; D19 &amp; "_base.ai"</f>
        <v/>
      </c>
      <c r="F19" s="3" t="n">
        <v>20</v>
      </c>
      <c r="G19" s="3" t="n">
        <v>10</v>
      </c>
      <c r="H19" s="3" t="n">
        <v>1</v>
      </c>
      <c r="I19" s="13" t="n"/>
      <c r="J19" s="13" t="inlineStr">
        <is>
          <t>打ち上げ時</t>
        </is>
      </c>
      <c r="K19" s="13" t="inlineStr">
        <is>
          <t>打ち上げ時、プロジェクトカードを3枚引く</t>
        </is>
      </c>
      <c r="L19" s="3" t="inlineStr">
        <is>
          <t>scallop</t>
        </is>
      </c>
      <c r="M19" s="3">
        <f>upper(L19)</f>
        <v/>
      </c>
    </row>
    <row r="20">
      <c r="A20" s="3" t="n">
        <v>0</v>
      </c>
      <c r="B20" s="3">
        <f t="array" ref="B20">_xlfn.XLOOKUP(A20,country!$A$2:$A$6,country!$B$2:$B$6)</f>
        <v/>
      </c>
      <c r="C20" s="3" t="n">
        <v>4</v>
      </c>
      <c r="D20" s="3">
        <f t="array" ref="D20">_xlfn.XLOOKUP(C20,country!$A$2:$A$6,country!$C$2:$C$6)</f>
        <v/>
      </c>
      <c r="E20" s="3">
        <f>fix!$B$3 &amp; "/" &amp; D20 &amp; "_base.ai"</f>
        <v/>
      </c>
      <c r="F20" s="3" t="n">
        <v>30</v>
      </c>
      <c r="G20" s="3" t="n">
        <v>10</v>
      </c>
      <c r="H20" s="3" t="n">
        <v>1</v>
      </c>
      <c r="I20" s="13" t="n"/>
      <c r="J20" s="13" t="inlineStr">
        <is>
          <t>打ち上げ時</t>
        </is>
      </c>
      <c r="K20" s="13" t="inlineStr">
        <is>
          <t>打ち上げ時、予算+3</t>
        </is>
      </c>
      <c r="L20" s="3" t="inlineStr">
        <is>
          <t>concorde</t>
        </is>
      </c>
      <c r="M20" s="3">
        <f>upper(L20)</f>
        <v/>
      </c>
    </row>
    <row r="21">
      <c r="A21" s="3" t="n">
        <v>0</v>
      </c>
      <c r="B21" s="3">
        <f t="array" ref="B21">_xlfn.XLOOKUP(A21,country!$A$2:$A$6,country!$B$2:$B$6)</f>
        <v/>
      </c>
      <c r="C21" s="3" t="n">
        <v>4</v>
      </c>
      <c r="D21" s="3">
        <f t="array" ref="D21">_xlfn.XLOOKUP(C21,country!$A$2:$A$6,country!$C$2:$C$6)</f>
        <v/>
      </c>
      <c r="E21" s="3">
        <f>fix!$B$3 &amp; "/" &amp; D21 &amp; "_base.ai"</f>
        <v/>
      </c>
      <c r="F21" s="3" t="n">
        <v>30</v>
      </c>
      <c r="G21" s="3" t="n">
        <v>15</v>
      </c>
      <c r="H21" s="3" t="n">
        <v>1</v>
      </c>
      <c r="I21" s="13" t="n"/>
      <c r="J21" s="13" t="inlineStr">
        <is>
          <t>打ち上げ時</t>
        </is>
      </c>
      <c r="K21" s="13" t="inlineStr">
        <is>
          <t>打ち上げ時、手札からプロジェクトカードを1枚選んで配備コストを支払ってこの衛星に配備してもよい</t>
        </is>
      </c>
      <c r="L21" s="3" t="inlineStr">
        <is>
          <t>stealth</t>
        </is>
      </c>
      <c r="M21" s="3">
        <f>upper(L21)</f>
        <v/>
      </c>
    </row>
    <row r="22">
      <c r="I22" s="13" t="n"/>
      <c r="J22" s="13" t="n"/>
      <c r="K22" s="13" t="n"/>
    </row>
    <row r="23">
      <c r="I23" s="13" t="n"/>
      <c r="J23" s="13" t="n"/>
      <c r="K23" s="13" t="n"/>
    </row>
    <row r="24">
      <c r="I24" s="13" t="n"/>
      <c r="J24" s="13" t="n"/>
      <c r="K24" s="13" t="n"/>
    </row>
    <row r="25">
      <c r="I25" s="13" t="n"/>
      <c r="J25" s="13" t="n"/>
      <c r="K25" s="13" t="n"/>
    </row>
    <row r="26">
      <c r="I26" s="13" t="n"/>
      <c r="J26" s="13" t="n"/>
      <c r="K26" s="13" t="n"/>
    </row>
    <row r="27">
      <c r="I27" s="13" t="n"/>
      <c r="J27" s="13" t="n"/>
      <c r="K27" s="13" t="n"/>
    </row>
    <row r="28">
      <c r="I28" s="13" t="n"/>
      <c r="J28" s="13" t="n"/>
      <c r="K28" s="13" t="n"/>
    </row>
    <row r="29">
      <c r="I29" s="13" t="n"/>
      <c r="J29" s="13" t="n"/>
      <c r="K29" s="13" t="n"/>
    </row>
    <row r="30">
      <c r="I30" s="13" t="n"/>
      <c r="J30" s="13" t="n"/>
      <c r="K30" s="13" t="n"/>
    </row>
    <row r="31">
      <c r="I31" s="13" t="n"/>
      <c r="J31" s="13" t="n"/>
      <c r="K31" s="13" t="n"/>
    </row>
    <row r="32">
      <c r="I32" s="13" t="n"/>
      <c r="J32" s="13" t="n"/>
      <c r="K32" s="13" t="n"/>
    </row>
    <row r="33">
      <c r="I33" s="13" t="n"/>
      <c r="J33" s="13" t="n"/>
      <c r="K33" s="13" t="n"/>
    </row>
    <row r="34">
      <c r="I34" s="13" t="n"/>
      <c r="J34" s="13" t="n"/>
      <c r="K34" s="13" t="n"/>
    </row>
    <row r="35">
      <c r="I35" s="13" t="n"/>
      <c r="J35" s="13" t="n"/>
      <c r="K35" s="13" t="n"/>
    </row>
    <row r="36">
      <c r="I36" s="13" t="n"/>
      <c r="J36" s="13" t="n"/>
      <c r="K36" s="13" t="n"/>
    </row>
    <row r="37">
      <c r="I37" s="13" t="n"/>
      <c r="J37" s="13" t="n"/>
      <c r="K37" s="13" t="n"/>
    </row>
    <row r="38">
      <c r="I38" s="13" t="n"/>
      <c r="J38" s="13" t="n"/>
      <c r="K38" s="13" t="n"/>
    </row>
    <row r="39">
      <c r="I39" s="13" t="n"/>
      <c r="J39" s="13" t="n"/>
      <c r="K39" s="13" t="n"/>
    </row>
    <row r="40">
      <c r="I40" s="13" t="n"/>
      <c r="J40" s="13" t="n"/>
      <c r="K40" s="13" t="n"/>
    </row>
    <row r="41">
      <c r="I41" s="13" t="n"/>
      <c r="J41" s="13" t="n"/>
      <c r="K41" s="13" t="n"/>
    </row>
    <row r="42">
      <c r="I42" s="13" t="n"/>
      <c r="J42" s="13" t="n"/>
      <c r="K42" s="13" t="n"/>
    </row>
    <row r="43">
      <c r="I43" s="13" t="n"/>
      <c r="J43" s="13" t="n"/>
      <c r="K43" s="13" t="n"/>
    </row>
    <row r="44">
      <c r="I44" s="13" t="n"/>
      <c r="J44" s="13" t="n"/>
      <c r="K44" s="13" t="n"/>
    </row>
    <row r="45">
      <c r="I45" s="13" t="n"/>
      <c r="J45" s="13" t="n"/>
      <c r="K45" s="13" t="n"/>
    </row>
    <row r="46">
      <c r="I46" s="13" t="n"/>
      <c r="J46" s="13" t="n"/>
      <c r="K46" s="13" t="n"/>
    </row>
    <row r="47">
      <c r="I47" s="13" t="n"/>
      <c r="J47" s="13" t="n"/>
      <c r="K47" s="13" t="n"/>
    </row>
    <row r="48">
      <c r="I48" s="13" t="n"/>
      <c r="J48" s="13" t="n"/>
      <c r="K48" s="13" t="n"/>
    </row>
    <row r="49">
      <c r="I49" s="13" t="n"/>
      <c r="J49" s="13" t="n"/>
      <c r="K49" s="13" t="n"/>
    </row>
    <row r="50">
      <c r="I50" s="13" t="n"/>
      <c r="J50" s="13" t="n"/>
      <c r="K50" s="13" t="n"/>
    </row>
    <row r="51">
      <c r="I51" s="13" t="n"/>
      <c r="J51" s="13" t="n"/>
      <c r="K51" s="13" t="n"/>
    </row>
    <row r="52">
      <c r="I52" s="13" t="n"/>
      <c r="J52" s="13" t="n"/>
      <c r="K52" s="13" t="n"/>
    </row>
    <row r="53">
      <c r="I53" s="13" t="n"/>
      <c r="J53" s="13" t="n"/>
      <c r="K53" s="13" t="n"/>
    </row>
    <row r="54">
      <c r="I54" s="13" t="n"/>
      <c r="J54" s="13" t="n"/>
      <c r="K54" s="13" t="n"/>
    </row>
    <row r="55">
      <c r="I55" s="13" t="n"/>
      <c r="J55" s="13" t="n"/>
      <c r="K55" s="13" t="n"/>
    </row>
    <row r="56">
      <c r="I56" s="13" t="n"/>
      <c r="J56" s="13" t="n"/>
      <c r="K56" s="13" t="n"/>
    </row>
    <row r="57">
      <c r="I57" s="13" t="n"/>
      <c r="J57" s="13" t="n"/>
      <c r="K57" s="13" t="n"/>
    </row>
    <row r="58">
      <c r="I58" s="13" t="n"/>
      <c r="J58" s="13" t="n"/>
      <c r="K58" s="13" t="n"/>
    </row>
    <row r="59">
      <c r="I59" s="13" t="n"/>
      <c r="J59" s="13" t="n"/>
      <c r="K59" s="13" t="n"/>
    </row>
    <row r="60">
      <c r="I60" s="13" t="n"/>
      <c r="J60" s="13" t="n"/>
      <c r="K60" s="13" t="n"/>
    </row>
    <row r="61">
      <c r="I61" s="13" t="n"/>
      <c r="J61" s="13" t="n"/>
      <c r="K61" s="13" t="n"/>
    </row>
    <row r="62">
      <c r="I62" s="13" t="n"/>
      <c r="J62" s="13" t="n"/>
      <c r="K62" s="13" t="n"/>
    </row>
    <row r="63">
      <c r="I63" s="13" t="n"/>
      <c r="J63" s="13" t="n"/>
      <c r="K63" s="13" t="n"/>
    </row>
    <row r="64">
      <c r="I64" s="13" t="n"/>
      <c r="J64" s="13" t="n"/>
      <c r="K64" s="13" t="n"/>
    </row>
    <row r="65">
      <c r="I65" s="13" t="n"/>
      <c r="J65" s="13" t="n"/>
      <c r="K65" s="13" t="n"/>
    </row>
    <row r="66">
      <c r="I66" s="13" t="n"/>
      <c r="J66" s="13" t="n"/>
      <c r="K66" s="13" t="n"/>
    </row>
    <row r="67">
      <c r="I67" s="13" t="n"/>
      <c r="J67" s="13" t="n"/>
      <c r="K67" s="13" t="n"/>
    </row>
    <row r="68">
      <c r="I68" s="13" t="n"/>
      <c r="J68" s="13" t="n"/>
      <c r="K68" s="13" t="n"/>
    </row>
    <row r="69">
      <c r="I69" s="13" t="n"/>
      <c r="J69" s="13" t="n"/>
      <c r="K69" s="13" t="n"/>
    </row>
    <row r="70">
      <c r="I70" s="13" t="n"/>
      <c r="J70" s="13" t="n"/>
      <c r="K70" s="13" t="n"/>
    </row>
    <row r="71">
      <c r="I71" s="13" t="n"/>
      <c r="J71" s="13" t="n"/>
      <c r="K71" s="13" t="n"/>
    </row>
    <row r="72">
      <c r="I72" s="13" t="n"/>
      <c r="J72" s="13" t="n"/>
      <c r="K72" s="13" t="n"/>
    </row>
    <row r="73">
      <c r="I73" s="13" t="n"/>
      <c r="J73" s="13" t="n"/>
      <c r="K73" s="13" t="n"/>
    </row>
    <row r="74">
      <c r="I74" s="13" t="n"/>
      <c r="J74" s="13" t="n"/>
      <c r="K74" s="13" t="n"/>
    </row>
    <row r="75">
      <c r="I75" s="13" t="n"/>
      <c r="J75" s="13" t="n"/>
      <c r="K75" s="13" t="n"/>
    </row>
    <row r="76">
      <c r="I76" s="13" t="n"/>
      <c r="J76" s="13" t="n"/>
      <c r="K76" s="13" t="n"/>
    </row>
    <row r="77">
      <c r="I77" s="13" t="n"/>
      <c r="J77" s="13" t="n"/>
      <c r="K77" s="13" t="n"/>
    </row>
    <row r="78">
      <c r="I78" s="13" t="n"/>
      <c r="J78" s="13" t="n"/>
      <c r="K78" s="13" t="n"/>
    </row>
    <row r="79">
      <c r="I79" s="13" t="n"/>
      <c r="J79" s="13" t="n"/>
      <c r="K79" s="13" t="n"/>
    </row>
    <row r="80">
      <c r="I80" s="13" t="n"/>
      <c r="J80" s="13" t="n"/>
      <c r="K80" s="13" t="n"/>
    </row>
    <row r="81">
      <c r="I81" s="13" t="n"/>
      <c r="J81" s="13" t="n"/>
      <c r="K81" s="13" t="n"/>
    </row>
    <row r="82">
      <c r="I82" s="13" t="n"/>
      <c r="J82" s="13" t="n"/>
      <c r="K82" s="13" t="n"/>
    </row>
    <row r="83">
      <c r="I83" s="13" t="n"/>
      <c r="J83" s="13" t="n"/>
      <c r="K83" s="13" t="n"/>
    </row>
    <row r="84">
      <c r="I84" s="13" t="n"/>
      <c r="J84" s="13" t="n"/>
      <c r="K84" s="13" t="n"/>
    </row>
    <row r="85">
      <c r="I85" s="13" t="n"/>
      <c r="J85" s="13" t="n"/>
      <c r="K85" s="13" t="n"/>
    </row>
    <row r="86">
      <c r="I86" s="13" t="n"/>
      <c r="J86" s="13" t="n"/>
      <c r="K86" s="13" t="n"/>
    </row>
    <row r="87">
      <c r="I87" s="13" t="n"/>
      <c r="J87" s="13" t="n"/>
      <c r="K87" s="13" t="n"/>
    </row>
    <row r="88">
      <c r="I88" s="13" t="n"/>
      <c r="J88" s="13" t="n"/>
      <c r="K88" s="13" t="n"/>
    </row>
    <row r="89">
      <c r="I89" s="13" t="n"/>
      <c r="J89" s="13" t="n"/>
      <c r="K89" s="13" t="n"/>
    </row>
    <row r="90">
      <c r="I90" s="13" t="n"/>
      <c r="J90" s="13" t="n"/>
      <c r="K90" s="13" t="n"/>
    </row>
    <row r="91">
      <c r="I91" s="13" t="n"/>
      <c r="J91" s="13" t="n"/>
      <c r="K91" s="13" t="n"/>
    </row>
    <row r="92">
      <c r="I92" s="13" t="n"/>
      <c r="J92" s="13" t="n"/>
      <c r="K92" s="13" t="n"/>
    </row>
    <row r="93">
      <c r="I93" s="13" t="n"/>
      <c r="J93" s="13" t="n"/>
      <c r="K93" s="13" t="n"/>
    </row>
    <row r="94">
      <c r="I94" s="13" t="n"/>
      <c r="J94" s="13" t="n"/>
      <c r="K94" s="13" t="n"/>
    </row>
    <row r="95">
      <c r="I95" s="13" t="n"/>
      <c r="J95" s="13" t="n"/>
      <c r="K95" s="13" t="n"/>
    </row>
    <row r="96">
      <c r="I96" s="13" t="n"/>
      <c r="J96" s="13" t="n"/>
      <c r="K96" s="13" t="n"/>
    </row>
    <row r="97">
      <c r="I97" s="13" t="n"/>
      <c r="J97" s="13" t="n"/>
      <c r="K97" s="13" t="n"/>
    </row>
    <row r="98">
      <c r="I98" s="13" t="n"/>
      <c r="J98" s="13" t="n"/>
      <c r="K98" s="13" t="n"/>
    </row>
    <row r="99">
      <c r="I99" s="13" t="n"/>
      <c r="J99" s="13" t="n"/>
      <c r="K99" s="13" t="n"/>
    </row>
    <row r="100">
      <c r="I100" s="13" t="n"/>
      <c r="J100" s="13" t="n"/>
      <c r="K100" s="13" t="n"/>
    </row>
    <row r="101">
      <c r="I101" s="13" t="n"/>
      <c r="J101" s="13" t="n"/>
      <c r="K101" s="13" t="n"/>
    </row>
    <row r="102">
      <c r="I102" s="13" t="n"/>
      <c r="J102" s="13" t="n"/>
      <c r="K102" s="13" t="n"/>
    </row>
    <row r="103">
      <c r="I103" s="13" t="n"/>
      <c r="J103" s="13" t="n"/>
      <c r="K103" s="13" t="n"/>
    </row>
    <row r="104">
      <c r="I104" s="13" t="n"/>
      <c r="J104" s="13" t="n"/>
      <c r="K104" s="13" t="n"/>
    </row>
    <row r="105">
      <c r="I105" s="13" t="n"/>
      <c r="J105" s="13" t="n"/>
      <c r="K105" s="13" t="n"/>
    </row>
    <row r="106">
      <c r="I106" s="13" t="n"/>
      <c r="J106" s="13" t="n"/>
      <c r="K106" s="13" t="n"/>
    </row>
    <row r="107">
      <c r="I107" s="13" t="n"/>
      <c r="J107" s="13" t="n"/>
      <c r="K107" s="13" t="n"/>
    </row>
    <row r="108">
      <c r="I108" s="13" t="n"/>
      <c r="J108" s="13" t="n"/>
      <c r="K108" s="13" t="n"/>
    </row>
    <row r="109">
      <c r="I109" s="13" t="n"/>
      <c r="J109" s="13" t="n"/>
      <c r="K109" s="13" t="n"/>
    </row>
    <row r="110">
      <c r="I110" s="13" t="n"/>
      <c r="J110" s="13" t="n"/>
      <c r="K110" s="13" t="n"/>
    </row>
    <row r="111">
      <c r="I111" s="13" t="n"/>
      <c r="J111" s="13" t="n"/>
      <c r="K111" s="13" t="n"/>
    </row>
    <row r="112">
      <c r="I112" s="13" t="n"/>
      <c r="J112" s="13" t="n"/>
      <c r="K112" s="13" t="n"/>
    </row>
    <row r="113">
      <c r="I113" s="13" t="n"/>
      <c r="J113" s="13" t="n"/>
      <c r="K113" s="13" t="n"/>
    </row>
    <row r="114">
      <c r="I114" s="13" t="n"/>
      <c r="J114" s="13" t="n"/>
      <c r="K114" s="13" t="n"/>
    </row>
    <row r="115">
      <c r="I115" s="13" t="n"/>
      <c r="J115" s="13" t="n"/>
      <c r="K115" s="13" t="n"/>
    </row>
    <row r="116">
      <c r="I116" s="13" t="n"/>
      <c r="J116" s="13" t="n"/>
      <c r="K116" s="13" t="n"/>
    </row>
    <row r="117">
      <c r="I117" s="13" t="n"/>
      <c r="J117" s="13" t="n"/>
      <c r="K117" s="13" t="n"/>
    </row>
    <row r="118">
      <c r="I118" s="13" t="n"/>
      <c r="J118" s="13" t="n"/>
      <c r="K118" s="13" t="n"/>
    </row>
    <row r="119">
      <c r="I119" s="13" t="n"/>
      <c r="J119" s="13" t="n"/>
      <c r="K119" s="13" t="n"/>
    </row>
    <row r="120">
      <c r="I120" s="13" t="n"/>
      <c r="J120" s="13" t="n"/>
      <c r="K120" s="13" t="n"/>
    </row>
    <row r="121">
      <c r="I121" s="13" t="n"/>
      <c r="J121" s="13" t="n"/>
      <c r="K121" s="13" t="n"/>
    </row>
    <row r="122">
      <c r="I122" s="13" t="n"/>
      <c r="J122" s="13" t="n"/>
      <c r="K122" s="13" t="n"/>
    </row>
    <row r="123">
      <c r="I123" s="13" t="n"/>
      <c r="J123" s="13" t="n"/>
      <c r="K123" s="13" t="n"/>
    </row>
    <row r="124">
      <c r="I124" s="13" t="n"/>
      <c r="J124" s="13" t="n"/>
      <c r="K124" s="13" t="n"/>
    </row>
    <row r="125">
      <c r="I125" s="13" t="n"/>
      <c r="J125" s="13" t="n"/>
      <c r="K125" s="13" t="n"/>
    </row>
    <row r="126">
      <c r="I126" s="13" t="n"/>
      <c r="J126" s="13" t="n"/>
      <c r="K126" s="13" t="n"/>
    </row>
    <row r="127">
      <c r="I127" s="13" t="n"/>
      <c r="J127" s="13" t="n"/>
      <c r="K127" s="13" t="n"/>
    </row>
    <row r="128">
      <c r="I128" s="13" t="n"/>
      <c r="J128" s="13" t="n"/>
      <c r="K128" s="13" t="n"/>
    </row>
    <row r="129">
      <c r="I129" s="13" t="n"/>
      <c r="J129" s="13" t="n"/>
      <c r="K129" s="13" t="n"/>
    </row>
    <row r="130">
      <c r="I130" s="13" t="n"/>
      <c r="J130" s="13" t="n"/>
      <c r="K130" s="13" t="n"/>
    </row>
    <row r="131">
      <c r="I131" s="13" t="n"/>
      <c r="J131" s="13" t="n"/>
      <c r="K131" s="13" t="n"/>
    </row>
    <row r="132">
      <c r="I132" s="13" t="n"/>
      <c r="J132" s="13" t="n"/>
      <c r="K132" s="13" t="n"/>
    </row>
    <row r="133">
      <c r="I133" s="13" t="n"/>
      <c r="J133" s="13" t="n"/>
      <c r="K133" s="13" t="n"/>
    </row>
    <row r="134">
      <c r="I134" s="13" t="n"/>
      <c r="J134" s="13" t="n"/>
      <c r="K134" s="13" t="n"/>
    </row>
    <row r="135">
      <c r="I135" s="13" t="n"/>
      <c r="J135" s="13" t="n"/>
      <c r="K135" s="13" t="n"/>
    </row>
    <row r="136">
      <c r="I136" s="13" t="n"/>
      <c r="J136" s="13" t="n"/>
      <c r="K136" s="13" t="n"/>
    </row>
    <row r="137">
      <c r="I137" s="13" t="n"/>
      <c r="J137" s="13" t="n"/>
      <c r="K137" s="13" t="n"/>
    </row>
    <row r="138">
      <c r="I138" s="13" t="n"/>
      <c r="J138" s="13" t="n"/>
      <c r="K138" s="13" t="n"/>
    </row>
    <row r="139">
      <c r="I139" s="13" t="n"/>
      <c r="J139" s="13" t="n"/>
      <c r="K139" s="13" t="n"/>
    </row>
    <row r="140">
      <c r="I140" s="13" t="n"/>
      <c r="J140" s="13" t="n"/>
      <c r="K140" s="13" t="n"/>
    </row>
    <row r="141">
      <c r="I141" s="13" t="n"/>
      <c r="J141" s="13" t="n"/>
      <c r="K141" s="13" t="n"/>
    </row>
    <row r="142">
      <c r="I142" s="13" t="n"/>
      <c r="J142" s="13" t="n"/>
      <c r="K142" s="13" t="n"/>
    </row>
    <row r="143">
      <c r="I143" s="13" t="n"/>
      <c r="J143" s="13" t="n"/>
      <c r="K143" s="13" t="n"/>
    </row>
    <row r="144">
      <c r="I144" s="13" t="n"/>
      <c r="J144" s="13" t="n"/>
      <c r="K144" s="13" t="n"/>
    </row>
    <row r="145">
      <c r="I145" s="13" t="n"/>
      <c r="J145" s="13" t="n"/>
      <c r="K145" s="13" t="n"/>
    </row>
    <row r="146">
      <c r="I146" s="13" t="n"/>
      <c r="J146" s="13" t="n"/>
      <c r="K146" s="13" t="n"/>
    </row>
    <row r="147">
      <c r="I147" s="13" t="n"/>
      <c r="J147" s="13" t="n"/>
      <c r="K147" s="13" t="n"/>
    </row>
    <row r="148">
      <c r="I148" s="13" t="n"/>
      <c r="J148" s="13" t="n"/>
      <c r="K148" s="13" t="n"/>
    </row>
    <row r="149">
      <c r="I149" s="13" t="n"/>
      <c r="J149" s="13" t="n"/>
      <c r="K149" s="13" t="n"/>
    </row>
    <row r="150">
      <c r="I150" s="13" t="n"/>
      <c r="J150" s="13" t="n"/>
      <c r="K150" s="13" t="n"/>
    </row>
    <row r="151">
      <c r="I151" s="13" t="n"/>
      <c r="J151" s="13" t="n"/>
      <c r="K151" s="13" t="n"/>
    </row>
    <row r="152">
      <c r="I152" s="13" t="n"/>
      <c r="J152" s="13" t="n"/>
      <c r="K152" s="13" t="n"/>
    </row>
    <row r="153">
      <c r="I153" s="13" t="n"/>
      <c r="J153" s="13" t="n"/>
      <c r="K153" s="13" t="n"/>
    </row>
    <row r="154">
      <c r="I154" s="13" t="n"/>
      <c r="J154" s="13" t="n"/>
      <c r="K154" s="13" t="n"/>
    </row>
    <row r="155">
      <c r="I155" s="13" t="n"/>
      <c r="J155" s="13" t="n"/>
      <c r="K155" s="13" t="n"/>
    </row>
    <row r="156">
      <c r="I156" s="13" t="n"/>
      <c r="J156" s="13" t="n"/>
      <c r="K156" s="13" t="n"/>
    </row>
    <row r="157">
      <c r="I157" s="13" t="n"/>
      <c r="J157" s="13" t="n"/>
      <c r="K157" s="13" t="n"/>
    </row>
    <row r="158">
      <c r="I158" s="13" t="n"/>
      <c r="J158" s="13" t="n"/>
      <c r="K158" s="13" t="n"/>
    </row>
    <row r="159">
      <c r="I159" s="13" t="n"/>
      <c r="J159" s="13" t="n"/>
      <c r="K159" s="13" t="n"/>
    </row>
    <row r="160">
      <c r="I160" s="13" t="n"/>
      <c r="J160" s="13" t="n"/>
      <c r="K160" s="13" t="n"/>
    </row>
    <row r="161">
      <c r="I161" s="13" t="n"/>
      <c r="J161" s="13" t="n"/>
      <c r="K161" s="13" t="n"/>
    </row>
    <row r="162">
      <c r="I162" s="13" t="n"/>
      <c r="J162" s="13" t="n"/>
      <c r="K162" s="13" t="n"/>
    </row>
    <row r="163">
      <c r="I163" s="13" t="n"/>
      <c r="J163" s="13" t="n"/>
      <c r="K163" s="13" t="n"/>
    </row>
    <row r="164">
      <c r="I164" s="13" t="n"/>
      <c r="J164" s="13" t="n"/>
      <c r="K164" s="13" t="n"/>
    </row>
    <row r="165">
      <c r="I165" s="13" t="n"/>
      <c r="J165" s="13" t="n"/>
      <c r="K165" s="13" t="n"/>
    </row>
    <row r="166">
      <c r="I166" s="13" t="n"/>
      <c r="J166" s="13" t="n"/>
      <c r="K166" s="13" t="n"/>
    </row>
    <row r="167">
      <c r="I167" s="13" t="n"/>
      <c r="J167" s="13" t="n"/>
      <c r="K167" s="13" t="n"/>
    </row>
    <row r="168">
      <c r="I168" s="13" t="n"/>
      <c r="J168" s="13" t="n"/>
      <c r="K168" s="13" t="n"/>
    </row>
    <row r="169">
      <c r="I169" s="13" t="n"/>
      <c r="J169" s="13" t="n"/>
      <c r="K169" s="13" t="n"/>
    </row>
    <row r="170">
      <c r="I170" s="13" t="n"/>
      <c r="J170" s="13" t="n"/>
      <c r="K170" s="13" t="n"/>
    </row>
    <row r="171">
      <c r="I171" s="13" t="n"/>
      <c r="J171" s="13" t="n"/>
      <c r="K171" s="13" t="n"/>
    </row>
    <row r="172">
      <c r="I172" s="13" t="n"/>
      <c r="J172" s="13" t="n"/>
      <c r="K172" s="13" t="n"/>
    </row>
    <row r="173">
      <c r="I173" s="13" t="n"/>
      <c r="J173" s="13" t="n"/>
      <c r="K173" s="13" t="n"/>
    </row>
    <row r="174">
      <c r="I174" s="13" t="n"/>
      <c r="J174" s="13" t="n"/>
      <c r="K174" s="13" t="n"/>
    </row>
    <row r="175">
      <c r="I175" s="13" t="n"/>
      <c r="J175" s="13" t="n"/>
      <c r="K175" s="13" t="n"/>
    </row>
    <row r="176">
      <c r="I176" s="13" t="n"/>
      <c r="J176" s="13" t="n"/>
      <c r="K176" s="13" t="n"/>
    </row>
    <row r="177">
      <c r="I177" s="13" t="n"/>
      <c r="J177" s="13" t="n"/>
      <c r="K177" s="13" t="n"/>
    </row>
    <row r="178">
      <c r="I178" s="13" t="n"/>
      <c r="J178" s="13" t="n"/>
      <c r="K178" s="13" t="n"/>
    </row>
    <row r="179">
      <c r="I179" s="13" t="n"/>
      <c r="J179" s="13" t="n"/>
      <c r="K179" s="13" t="n"/>
    </row>
    <row r="180">
      <c r="I180" s="13" t="n"/>
      <c r="J180" s="13" t="n"/>
      <c r="K180" s="13" t="n"/>
    </row>
    <row r="181">
      <c r="I181" s="13" t="n"/>
      <c r="J181" s="13" t="n"/>
      <c r="K181" s="13" t="n"/>
    </row>
    <row r="182">
      <c r="I182" s="13" t="n"/>
      <c r="J182" s="13" t="n"/>
      <c r="K182" s="13" t="n"/>
    </row>
    <row r="183">
      <c r="I183" s="13" t="n"/>
      <c r="J183" s="13" t="n"/>
      <c r="K183" s="13" t="n"/>
    </row>
    <row r="184">
      <c r="I184" s="13" t="n"/>
      <c r="J184" s="13" t="n"/>
      <c r="K184" s="13" t="n"/>
    </row>
    <row r="185">
      <c r="I185" s="13" t="n"/>
      <c r="J185" s="13" t="n"/>
      <c r="K185" s="13" t="n"/>
    </row>
    <row r="186">
      <c r="I186" s="13" t="n"/>
      <c r="J186" s="13" t="n"/>
      <c r="K186" s="13" t="n"/>
    </row>
    <row r="187">
      <c r="I187" s="13" t="n"/>
      <c r="J187" s="13" t="n"/>
      <c r="K187" s="13" t="n"/>
    </row>
    <row r="188">
      <c r="I188" s="13" t="n"/>
      <c r="J188" s="13" t="n"/>
      <c r="K188" s="13" t="n"/>
    </row>
    <row r="189">
      <c r="I189" s="13" t="n"/>
      <c r="J189" s="13" t="n"/>
      <c r="K189" s="13" t="n"/>
    </row>
    <row r="190">
      <c r="I190" s="13" t="n"/>
      <c r="J190" s="13" t="n"/>
      <c r="K190" s="13" t="n"/>
    </row>
    <row r="191">
      <c r="I191" s="13" t="n"/>
      <c r="J191" s="13" t="n"/>
      <c r="K191" s="13" t="n"/>
    </row>
    <row r="192">
      <c r="I192" s="13" t="n"/>
      <c r="J192" s="13" t="n"/>
      <c r="K192" s="13" t="n"/>
    </row>
    <row r="193">
      <c r="I193" s="13" t="n"/>
      <c r="J193" s="13" t="n"/>
      <c r="K193" s="13" t="n"/>
    </row>
    <row r="194">
      <c r="I194" s="13" t="n"/>
      <c r="J194" s="13" t="n"/>
      <c r="K194" s="13" t="n"/>
    </row>
    <row r="195">
      <c r="I195" s="13" t="n"/>
      <c r="J195" s="13" t="n"/>
      <c r="K195" s="13" t="n"/>
    </row>
    <row r="196">
      <c r="I196" s="13" t="n"/>
      <c r="J196" s="13" t="n"/>
      <c r="K196" s="13" t="n"/>
    </row>
    <row r="197">
      <c r="I197" s="13" t="n"/>
      <c r="J197" s="13" t="n"/>
      <c r="K197" s="13" t="n"/>
    </row>
    <row r="198">
      <c r="I198" s="13" t="n"/>
      <c r="J198" s="13" t="n"/>
      <c r="K198" s="13" t="n"/>
    </row>
    <row r="199">
      <c r="I199" s="13" t="n"/>
      <c r="J199" s="13" t="n"/>
      <c r="K199" s="13" t="n"/>
    </row>
    <row r="200">
      <c r="I200" s="13" t="n"/>
      <c r="J200" s="13" t="n"/>
      <c r="K200" s="13" t="n"/>
    </row>
    <row r="201">
      <c r="I201" s="13" t="n"/>
      <c r="J201" s="13" t="n"/>
      <c r="K201" s="13" t="n"/>
    </row>
    <row r="202">
      <c r="I202" s="13" t="n"/>
      <c r="J202" s="13" t="n"/>
      <c r="K202" s="13" t="n"/>
    </row>
    <row r="203">
      <c r="I203" s="13" t="n"/>
      <c r="J203" s="13" t="n"/>
      <c r="K203" s="13" t="n"/>
    </row>
    <row r="204">
      <c r="I204" s="13" t="n"/>
      <c r="J204" s="13" t="n"/>
      <c r="K204" s="13" t="n"/>
    </row>
    <row r="205">
      <c r="I205" s="13" t="n"/>
      <c r="J205" s="13" t="n"/>
      <c r="K205" s="13" t="n"/>
    </row>
    <row r="206">
      <c r="I206" s="13" t="n"/>
      <c r="J206" s="13" t="n"/>
      <c r="K206" s="13" t="n"/>
    </row>
    <row r="207">
      <c r="I207" s="13" t="n"/>
      <c r="J207" s="13" t="n"/>
      <c r="K207" s="13" t="n"/>
    </row>
    <row r="208">
      <c r="I208" s="13" t="n"/>
      <c r="J208" s="13" t="n"/>
      <c r="K208" s="13" t="n"/>
    </row>
    <row r="209">
      <c r="I209" s="13" t="n"/>
      <c r="J209" s="13" t="n"/>
      <c r="K209" s="13" t="n"/>
    </row>
    <row r="210">
      <c r="I210" s="13" t="n"/>
      <c r="J210" s="13" t="n"/>
      <c r="K210" s="13" t="n"/>
    </row>
    <row r="211">
      <c r="I211" s="13" t="n"/>
      <c r="J211" s="13" t="n"/>
      <c r="K211" s="13" t="n"/>
    </row>
    <row r="212">
      <c r="I212" s="13" t="n"/>
      <c r="J212" s="13" t="n"/>
      <c r="K212" s="13" t="n"/>
    </row>
    <row r="213">
      <c r="I213" s="13" t="n"/>
      <c r="J213" s="13" t="n"/>
      <c r="K213" s="13" t="n"/>
    </row>
    <row r="214">
      <c r="I214" s="13" t="n"/>
      <c r="J214" s="13" t="n"/>
      <c r="K214" s="13" t="n"/>
    </row>
    <row r="215">
      <c r="I215" s="13" t="n"/>
      <c r="J215" s="13" t="n"/>
      <c r="K215" s="13" t="n"/>
    </row>
    <row r="216">
      <c r="I216" s="13" t="n"/>
      <c r="J216" s="13" t="n"/>
      <c r="K216" s="13" t="n"/>
    </row>
    <row r="217">
      <c r="I217" s="13" t="n"/>
      <c r="J217" s="13" t="n"/>
      <c r="K217" s="13" t="n"/>
    </row>
    <row r="218">
      <c r="I218" s="13" t="n"/>
      <c r="J218" s="13" t="n"/>
      <c r="K218" s="13" t="n"/>
    </row>
    <row r="219">
      <c r="I219" s="13" t="n"/>
      <c r="J219" s="13" t="n"/>
      <c r="K219" s="13" t="n"/>
    </row>
    <row r="220">
      <c r="I220" s="13" t="n"/>
      <c r="J220" s="13" t="n"/>
      <c r="K220" s="13" t="n"/>
    </row>
    <row r="221">
      <c r="I221" s="13" t="n"/>
      <c r="J221" s="13" t="n"/>
      <c r="K221" s="13" t="n"/>
    </row>
    <row r="222">
      <c r="I222" s="13" t="n"/>
      <c r="J222" s="13" t="n"/>
      <c r="K222" s="13" t="n"/>
    </row>
    <row r="223">
      <c r="I223" s="13" t="n"/>
      <c r="J223" s="13" t="n"/>
      <c r="K223" s="13" t="n"/>
    </row>
    <row r="224">
      <c r="I224" s="13" t="n"/>
      <c r="J224" s="13" t="n"/>
      <c r="K224" s="13" t="n"/>
    </row>
    <row r="225">
      <c r="I225" s="13" t="n"/>
      <c r="J225" s="13" t="n"/>
      <c r="K225" s="13" t="n"/>
    </row>
    <row r="226">
      <c r="I226" s="13" t="n"/>
      <c r="J226" s="13" t="n"/>
      <c r="K226" s="13" t="n"/>
    </row>
    <row r="227">
      <c r="I227" s="13" t="n"/>
      <c r="J227" s="13" t="n"/>
      <c r="K227" s="13" t="n"/>
    </row>
    <row r="228">
      <c r="I228" s="13" t="n"/>
      <c r="J228" s="13" t="n"/>
      <c r="K228" s="13" t="n"/>
    </row>
    <row r="229">
      <c r="I229" s="13" t="n"/>
      <c r="J229" s="13" t="n"/>
      <c r="K229" s="13" t="n"/>
    </row>
    <row r="230">
      <c r="I230" s="13" t="n"/>
      <c r="J230" s="13" t="n"/>
      <c r="K230" s="13" t="n"/>
    </row>
    <row r="231">
      <c r="I231" s="13" t="n"/>
      <c r="J231" s="13" t="n"/>
      <c r="K231" s="13" t="n"/>
    </row>
    <row r="232">
      <c r="I232" s="13" t="n"/>
      <c r="J232" s="13" t="n"/>
      <c r="K232" s="13" t="n"/>
    </row>
    <row r="233">
      <c r="I233" s="13" t="n"/>
      <c r="J233" s="13" t="n"/>
      <c r="K233" s="13" t="n"/>
    </row>
    <row r="234">
      <c r="I234" s="13" t="n"/>
      <c r="J234" s="13" t="n"/>
      <c r="K234" s="13" t="n"/>
    </row>
    <row r="235">
      <c r="I235" s="13" t="n"/>
      <c r="J235" s="13" t="n"/>
      <c r="K235" s="13" t="n"/>
    </row>
    <row r="236">
      <c r="I236" s="13" t="n"/>
      <c r="J236" s="13" t="n"/>
      <c r="K236" s="13" t="n"/>
    </row>
    <row r="237">
      <c r="I237" s="13" t="n"/>
      <c r="J237" s="13" t="n"/>
      <c r="K237" s="13" t="n"/>
    </row>
    <row r="238">
      <c r="I238" s="13" t="n"/>
      <c r="J238" s="13" t="n"/>
      <c r="K238" s="13" t="n"/>
    </row>
    <row r="239">
      <c r="I239" s="13" t="n"/>
      <c r="J239" s="13" t="n"/>
      <c r="K239" s="13" t="n"/>
    </row>
    <row r="240">
      <c r="I240" s="13" t="n"/>
      <c r="J240" s="13" t="n"/>
      <c r="K240" s="13" t="n"/>
    </row>
    <row r="241">
      <c r="I241" s="13" t="n"/>
      <c r="J241" s="13" t="n"/>
      <c r="K241" s="13" t="n"/>
    </row>
    <row r="242">
      <c r="I242" s="13" t="n"/>
      <c r="J242" s="13" t="n"/>
      <c r="K242" s="13" t="n"/>
    </row>
    <row r="243">
      <c r="I243" s="13" t="n"/>
      <c r="J243" s="13" t="n"/>
      <c r="K243" s="13" t="n"/>
    </row>
    <row r="244">
      <c r="I244" s="13" t="n"/>
      <c r="J244" s="13" t="n"/>
      <c r="K244" s="13" t="n"/>
    </row>
    <row r="245">
      <c r="I245" s="13" t="n"/>
      <c r="J245" s="13" t="n"/>
      <c r="K245" s="13" t="n"/>
    </row>
    <row r="246">
      <c r="I246" s="13" t="n"/>
      <c r="J246" s="13" t="n"/>
      <c r="K246" s="13" t="n"/>
    </row>
    <row r="247">
      <c r="I247" s="13" t="n"/>
      <c r="J247" s="13" t="n"/>
      <c r="K247" s="13" t="n"/>
    </row>
    <row r="248">
      <c r="I248" s="13" t="n"/>
      <c r="J248" s="13" t="n"/>
      <c r="K248" s="13" t="n"/>
    </row>
    <row r="249">
      <c r="I249" s="13" t="n"/>
      <c r="J249" s="13" t="n"/>
      <c r="K249" s="13" t="n"/>
    </row>
    <row r="250">
      <c r="I250" s="13" t="n"/>
      <c r="J250" s="13" t="n"/>
      <c r="K250" s="13" t="n"/>
    </row>
    <row r="251">
      <c r="I251" s="13" t="n"/>
      <c r="J251" s="13" t="n"/>
      <c r="K251" s="13" t="n"/>
    </row>
    <row r="252">
      <c r="I252" s="13" t="n"/>
      <c r="J252" s="13" t="n"/>
      <c r="K252" s="13" t="n"/>
    </row>
    <row r="253">
      <c r="I253" s="13" t="n"/>
      <c r="J253" s="13" t="n"/>
      <c r="K253" s="13" t="n"/>
    </row>
    <row r="254">
      <c r="I254" s="13" t="n"/>
      <c r="J254" s="13" t="n"/>
      <c r="K254" s="13" t="n"/>
    </row>
    <row r="255">
      <c r="I255" s="13" t="n"/>
      <c r="J255" s="13" t="n"/>
      <c r="K255" s="13" t="n"/>
    </row>
    <row r="256">
      <c r="I256" s="13" t="n"/>
      <c r="J256" s="13" t="n"/>
      <c r="K256" s="13" t="n"/>
    </row>
    <row r="257">
      <c r="I257" s="13" t="n"/>
      <c r="J257" s="13" t="n"/>
      <c r="K257" s="13" t="n"/>
    </row>
    <row r="258">
      <c r="I258" s="13" t="n"/>
      <c r="J258" s="13" t="n"/>
      <c r="K258" s="13" t="n"/>
    </row>
    <row r="259">
      <c r="I259" s="13" t="n"/>
      <c r="J259" s="13" t="n"/>
      <c r="K259" s="13" t="n"/>
    </row>
    <row r="260">
      <c r="I260" s="13" t="n"/>
      <c r="J260" s="13" t="n"/>
      <c r="K260" s="13" t="n"/>
    </row>
    <row r="261">
      <c r="I261" s="13" t="n"/>
      <c r="J261" s="13" t="n"/>
      <c r="K261" s="13" t="n"/>
    </row>
    <row r="262">
      <c r="I262" s="13" t="n"/>
      <c r="J262" s="13" t="n"/>
      <c r="K262" s="13" t="n"/>
    </row>
    <row r="263">
      <c r="I263" s="13" t="n"/>
      <c r="J263" s="13" t="n"/>
      <c r="K263" s="13" t="n"/>
    </row>
    <row r="264">
      <c r="I264" s="13" t="n"/>
      <c r="J264" s="13" t="n"/>
      <c r="K264" s="13" t="n"/>
    </row>
    <row r="265">
      <c r="I265" s="13" t="n"/>
      <c r="J265" s="13" t="n"/>
      <c r="K265" s="13" t="n"/>
    </row>
    <row r="266">
      <c r="I266" s="13" t="n"/>
      <c r="J266" s="13" t="n"/>
      <c r="K266" s="13" t="n"/>
    </row>
    <row r="267">
      <c r="I267" s="13" t="n"/>
      <c r="J267" s="13" t="n"/>
      <c r="K267" s="13" t="n"/>
    </row>
    <row r="268">
      <c r="I268" s="13" t="n"/>
      <c r="J268" s="13" t="n"/>
      <c r="K268" s="13" t="n"/>
    </row>
    <row r="269">
      <c r="I269" s="13" t="n"/>
      <c r="J269" s="13" t="n"/>
      <c r="K269" s="13" t="n"/>
    </row>
    <row r="270">
      <c r="I270" s="13" t="n"/>
      <c r="J270" s="13" t="n"/>
      <c r="K270" s="13" t="n"/>
    </row>
    <row r="271">
      <c r="I271" s="13" t="n"/>
      <c r="J271" s="13" t="n"/>
      <c r="K271" s="13" t="n"/>
    </row>
    <row r="272">
      <c r="I272" s="13" t="n"/>
      <c r="J272" s="13" t="n"/>
      <c r="K272" s="13" t="n"/>
    </row>
    <row r="273">
      <c r="I273" s="13" t="n"/>
      <c r="J273" s="13" t="n"/>
      <c r="K273" s="13" t="n"/>
    </row>
    <row r="274">
      <c r="I274" s="13" t="n"/>
      <c r="J274" s="13" t="n"/>
      <c r="K274" s="13" t="n"/>
    </row>
    <row r="275">
      <c r="I275" s="13" t="n"/>
      <c r="J275" s="13" t="n"/>
      <c r="K275" s="13" t="n"/>
    </row>
    <row r="276">
      <c r="I276" s="13" t="n"/>
      <c r="J276" s="13" t="n"/>
      <c r="K276" s="13" t="n"/>
    </row>
    <row r="277">
      <c r="I277" s="13" t="n"/>
      <c r="J277" s="13" t="n"/>
      <c r="K277" s="13" t="n"/>
    </row>
    <row r="278">
      <c r="I278" s="13" t="n"/>
      <c r="J278" s="13" t="n"/>
      <c r="K278" s="13" t="n"/>
    </row>
    <row r="279">
      <c r="I279" s="13" t="n"/>
      <c r="J279" s="13" t="n"/>
      <c r="K279" s="13" t="n"/>
    </row>
    <row r="280">
      <c r="I280" s="13" t="n"/>
      <c r="J280" s="13" t="n"/>
      <c r="K280" s="13" t="n"/>
    </row>
    <row r="281">
      <c r="I281" s="13" t="n"/>
      <c r="J281" s="13" t="n"/>
      <c r="K281" s="13" t="n"/>
    </row>
    <row r="282">
      <c r="I282" s="13" t="n"/>
      <c r="J282" s="13" t="n"/>
      <c r="K282" s="13" t="n"/>
    </row>
    <row r="283">
      <c r="I283" s="13" t="n"/>
      <c r="J283" s="13" t="n"/>
      <c r="K283" s="13" t="n"/>
    </row>
    <row r="284">
      <c r="I284" s="13" t="n"/>
      <c r="J284" s="13" t="n"/>
      <c r="K284" s="13" t="n"/>
    </row>
    <row r="285">
      <c r="I285" s="13" t="n"/>
      <c r="J285" s="13" t="n"/>
      <c r="K285" s="13" t="n"/>
    </row>
    <row r="286">
      <c r="I286" s="13" t="n"/>
      <c r="J286" s="13" t="n"/>
      <c r="K286" s="13" t="n"/>
    </row>
    <row r="287">
      <c r="I287" s="13" t="n"/>
      <c r="J287" s="13" t="n"/>
      <c r="K287" s="13" t="n"/>
    </row>
    <row r="288">
      <c r="I288" s="13" t="n"/>
      <c r="J288" s="13" t="n"/>
      <c r="K288" s="13" t="n"/>
    </row>
    <row r="289">
      <c r="I289" s="13" t="n"/>
      <c r="J289" s="13" t="n"/>
      <c r="K289" s="13" t="n"/>
    </row>
    <row r="290">
      <c r="I290" s="13" t="n"/>
      <c r="J290" s="13" t="n"/>
      <c r="K290" s="13" t="n"/>
    </row>
    <row r="291">
      <c r="I291" s="13" t="n"/>
      <c r="J291" s="13" t="n"/>
      <c r="K291" s="13" t="n"/>
    </row>
    <row r="292">
      <c r="I292" s="13" t="n"/>
      <c r="J292" s="13" t="n"/>
      <c r="K292" s="13" t="n"/>
    </row>
    <row r="293">
      <c r="I293" s="13" t="n"/>
      <c r="J293" s="13" t="n"/>
      <c r="K293" s="13" t="n"/>
    </row>
    <row r="294">
      <c r="I294" s="13" t="n"/>
      <c r="J294" s="13" t="n"/>
      <c r="K294" s="13" t="n"/>
    </row>
    <row r="295">
      <c r="I295" s="13" t="n"/>
      <c r="J295" s="13" t="n"/>
      <c r="K295" s="13" t="n"/>
    </row>
    <row r="296">
      <c r="I296" s="13" t="n"/>
      <c r="J296" s="13" t="n"/>
      <c r="K296" s="13" t="n"/>
    </row>
    <row r="297">
      <c r="I297" s="13" t="n"/>
      <c r="J297" s="13" t="n"/>
      <c r="K297" s="13" t="n"/>
    </row>
    <row r="298">
      <c r="I298" s="13" t="n"/>
      <c r="J298" s="13" t="n"/>
      <c r="K298" s="13" t="n"/>
    </row>
    <row r="299">
      <c r="I299" s="13" t="n"/>
      <c r="J299" s="13" t="n"/>
      <c r="K299" s="13" t="n"/>
    </row>
    <row r="300">
      <c r="I300" s="13" t="n"/>
      <c r="J300" s="13" t="n"/>
      <c r="K300" s="13" t="n"/>
    </row>
    <row r="301">
      <c r="I301" s="13" t="n"/>
      <c r="J301" s="13" t="n"/>
      <c r="K301" s="13" t="n"/>
    </row>
    <row r="302">
      <c r="I302" s="13" t="n"/>
      <c r="J302" s="13" t="n"/>
      <c r="K302" s="13" t="n"/>
    </row>
    <row r="303">
      <c r="I303" s="13" t="n"/>
      <c r="J303" s="13" t="n"/>
      <c r="K303" s="13" t="n"/>
    </row>
    <row r="304">
      <c r="I304" s="13" t="n"/>
      <c r="J304" s="13" t="n"/>
      <c r="K304" s="13" t="n"/>
    </row>
    <row r="305">
      <c r="I305" s="13" t="n"/>
      <c r="J305" s="13" t="n"/>
      <c r="K305" s="13" t="n"/>
    </row>
    <row r="306">
      <c r="I306" s="13" t="n"/>
      <c r="J306" s="13" t="n"/>
      <c r="K306" s="13" t="n"/>
    </row>
    <row r="307">
      <c r="I307" s="13" t="n"/>
      <c r="J307" s="13" t="n"/>
      <c r="K307" s="13" t="n"/>
    </row>
    <row r="308">
      <c r="I308" s="13" t="n"/>
      <c r="J308" s="13" t="n"/>
      <c r="K308" s="13" t="n"/>
    </row>
    <row r="309">
      <c r="I309" s="13" t="n"/>
      <c r="J309" s="13" t="n"/>
      <c r="K309" s="13" t="n"/>
    </row>
    <row r="310">
      <c r="I310" s="13" t="n"/>
      <c r="J310" s="13" t="n"/>
      <c r="K310" s="13" t="n"/>
    </row>
    <row r="311">
      <c r="I311" s="13" t="n"/>
      <c r="J311" s="13" t="n"/>
      <c r="K311" s="13" t="n"/>
    </row>
    <row r="312">
      <c r="I312" s="13" t="n"/>
      <c r="J312" s="13" t="n"/>
      <c r="K312" s="13" t="n"/>
    </row>
    <row r="313">
      <c r="I313" s="13" t="n"/>
      <c r="J313" s="13" t="n"/>
      <c r="K313" s="13" t="n"/>
    </row>
    <row r="314">
      <c r="I314" s="13" t="n"/>
      <c r="J314" s="13" t="n"/>
      <c r="K314" s="13" t="n"/>
    </row>
    <row r="315">
      <c r="I315" s="13" t="n"/>
      <c r="J315" s="13" t="n"/>
      <c r="K315" s="13" t="n"/>
    </row>
    <row r="316">
      <c r="I316" s="13" t="n"/>
      <c r="J316" s="13" t="n"/>
      <c r="K316" s="13" t="n"/>
    </row>
    <row r="317">
      <c r="I317" s="13" t="n"/>
      <c r="J317" s="13" t="n"/>
      <c r="K317" s="13" t="n"/>
    </row>
    <row r="318">
      <c r="I318" s="13" t="n"/>
      <c r="J318" s="13" t="n"/>
      <c r="K318" s="13" t="n"/>
    </row>
    <row r="319">
      <c r="I319" s="13" t="n"/>
      <c r="J319" s="13" t="n"/>
      <c r="K319" s="13" t="n"/>
    </row>
    <row r="320">
      <c r="I320" s="13" t="n"/>
      <c r="J320" s="13" t="n"/>
      <c r="K320" s="13" t="n"/>
    </row>
    <row r="321">
      <c r="I321" s="13" t="n"/>
      <c r="J321" s="13" t="n"/>
      <c r="K321" s="13" t="n"/>
    </row>
    <row r="322">
      <c r="I322" s="13" t="n"/>
      <c r="J322" s="13" t="n"/>
      <c r="K322" s="13" t="n"/>
    </row>
    <row r="323">
      <c r="I323" s="13" t="n"/>
      <c r="J323" s="13" t="n"/>
      <c r="K323" s="13" t="n"/>
    </row>
    <row r="324">
      <c r="I324" s="13" t="n"/>
      <c r="J324" s="13" t="n"/>
      <c r="K324" s="13" t="n"/>
    </row>
    <row r="325">
      <c r="I325" s="13" t="n"/>
      <c r="J325" s="13" t="n"/>
      <c r="K325" s="13" t="n"/>
    </row>
    <row r="326">
      <c r="I326" s="13" t="n"/>
      <c r="J326" s="13" t="n"/>
      <c r="K326" s="13" t="n"/>
    </row>
    <row r="327">
      <c r="I327" s="13" t="n"/>
      <c r="J327" s="13" t="n"/>
      <c r="K327" s="13" t="n"/>
    </row>
    <row r="328">
      <c r="I328" s="13" t="n"/>
      <c r="J328" s="13" t="n"/>
      <c r="K328" s="13" t="n"/>
    </row>
    <row r="329">
      <c r="I329" s="13" t="n"/>
      <c r="J329" s="13" t="n"/>
      <c r="K329" s="13" t="n"/>
    </row>
    <row r="330">
      <c r="I330" s="13" t="n"/>
      <c r="J330" s="13" t="n"/>
      <c r="K330" s="13" t="n"/>
    </row>
    <row r="331">
      <c r="I331" s="13" t="n"/>
      <c r="J331" s="13" t="n"/>
      <c r="K331" s="13" t="n"/>
    </row>
    <row r="332">
      <c r="I332" s="13" t="n"/>
      <c r="J332" s="13" t="n"/>
      <c r="K332" s="13" t="n"/>
    </row>
    <row r="333">
      <c r="I333" s="13" t="n"/>
      <c r="J333" s="13" t="n"/>
      <c r="K333" s="13" t="n"/>
    </row>
    <row r="334">
      <c r="I334" s="13" t="n"/>
      <c r="J334" s="13" t="n"/>
      <c r="K334" s="13" t="n"/>
    </row>
    <row r="335">
      <c r="I335" s="13" t="n"/>
      <c r="J335" s="13" t="n"/>
      <c r="K335" s="13" t="n"/>
    </row>
    <row r="336">
      <c r="I336" s="13" t="n"/>
      <c r="J336" s="13" t="n"/>
      <c r="K336" s="13" t="n"/>
    </row>
    <row r="337">
      <c r="I337" s="13" t="n"/>
      <c r="J337" s="13" t="n"/>
      <c r="K337" s="13" t="n"/>
    </row>
    <row r="338">
      <c r="I338" s="13" t="n"/>
      <c r="J338" s="13" t="n"/>
      <c r="K338" s="13" t="n"/>
    </row>
    <row r="339">
      <c r="I339" s="13" t="n"/>
      <c r="J339" s="13" t="n"/>
      <c r="K339" s="13" t="n"/>
    </row>
    <row r="340">
      <c r="I340" s="13" t="n"/>
      <c r="J340" s="13" t="n"/>
      <c r="K340" s="13" t="n"/>
    </row>
    <row r="341">
      <c r="I341" s="13" t="n"/>
      <c r="J341" s="13" t="n"/>
      <c r="K341" s="13" t="n"/>
    </row>
    <row r="342">
      <c r="I342" s="13" t="n"/>
      <c r="J342" s="13" t="n"/>
      <c r="K342" s="13" t="n"/>
    </row>
    <row r="343">
      <c r="I343" s="13" t="n"/>
      <c r="J343" s="13" t="n"/>
      <c r="K343" s="13" t="n"/>
    </row>
    <row r="344">
      <c r="I344" s="13" t="n"/>
      <c r="J344" s="13" t="n"/>
      <c r="K344" s="13" t="n"/>
    </row>
    <row r="345">
      <c r="I345" s="13" t="n"/>
      <c r="J345" s="13" t="n"/>
      <c r="K345" s="13" t="n"/>
    </row>
    <row r="346">
      <c r="I346" s="13" t="n"/>
      <c r="J346" s="13" t="n"/>
      <c r="K346" s="13" t="n"/>
    </row>
    <row r="347">
      <c r="I347" s="13" t="n"/>
      <c r="J347" s="13" t="n"/>
      <c r="K347" s="13" t="n"/>
    </row>
    <row r="348">
      <c r="I348" s="13" t="n"/>
      <c r="J348" s="13" t="n"/>
      <c r="K348" s="13" t="n"/>
    </row>
    <row r="349">
      <c r="I349" s="13" t="n"/>
      <c r="J349" s="13" t="n"/>
      <c r="K349" s="13" t="n"/>
    </row>
    <row r="350">
      <c r="I350" s="13" t="n"/>
      <c r="J350" s="13" t="n"/>
      <c r="K350" s="13" t="n"/>
    </row>
    <row r="351">
      <c r="I351" s="13" t="n"/>
      <c r="J351" s="13" t="n"/>
      <c r="K351" s="13" t="n"/>
    </row>
    <row r="352">
      <c r="I352" s="13" t="n"/>
      <c r="J352" s="13" t="n"/>
      <c r="K352" s="13" t="n"/>
    </row>
    <row r="353">
      <c r="I353" s="13" t="n"/>
      <c r="J353" s="13" t="n"/>
      <c r="K353" s="13" t="n"/>
    </row>
    <row r="354">
      <c r="I354" s="13" t="n"/>
      <c r="J354" s="13" t="n"/>
      <c r="K354" s="13" t="n"/>
    </row>
    <row r="355">
      <c r="I355" s="13" t="n"/>
      <c r="J355" s="13" t="n"/>
      <c r="K355" s="13" t="n"/>
    </row>
    <row r="356">
      <c r="I356" s="13" t="n"/>
      <c r="J356" s="13" t="n"/>
      <c r="K356" s="13" t="n"/>
    </row>
    <row r="357">
      <c r="I357" s="13" t="n"/>
      <c r="J357" s="13" t="n"/>
      <c r="K357" s="13" t="n"/>
    </row>
    <row r="358">
      <c r="I358" s="13" t="n"/>
      <c r="J358" s="13" t="n"/>
      <c r="K358" s="13" t="n"/>
    </row>
    <row r="359">
      <c r="I359" s="13" t="n"/>
      <c r="J359" s="13" t="n"/>
      <c r="K359" s="13" t="n"/>
    </row>
    <row r="360">
      <c r="I360" s="13" t="n"/>
      <c r="J360" s="13" t="n"/>
      <c r="K360" s="13" t="n"/>
    </row>
    <row r="361">
      <c r="I361" s="13" t="n"/>
      <c r="J361" s="13" t="n"/>
      <c r="K361" s="13" t="n"/>
    </row>
    <row r="362">
      <c r="I362" s="13" t="n"/>
      <c r="J362" s="13" t="n"/>
      <c r="K362" s="13" t="n"/>
    </row>
    <row r="363">
      <c r="I363" s="13" t="n"/>
      <c r="J363" s="13" t="n"/>
      <c r="K363" s="13" t="n"/>
    </row>
    <row r="364">
      <c r="I364" s="13" t="n"/>
      <c r="J364" s="13" t="n"/>
      <c r="K364" s="13" t="n"/>
    </row>
    <row r="365">
      <c r="I365" s="13" t="n"/>
      <c r="J365" s="13" t="n"/>
      <c r="K365" s="13" t="n"/>
    </row>
    <row r="366">
      <c r="I366" s="13" t="n"/>
      <c r="J366" s="13" t="n"/>
      <c r="K366" s="13" t="n"/>
    </row>
    <row r="367">
      <c r="I367" s="13" t="n"/>
      <c r="J367" s="13" t="n"/>
      <c r="K367" s="13" t="n"/>
    </row>
    <row r="368">
      <c r="I368" s="13" t="n"/>
      <c r="J368" s="13" t="n"/>
      <c r="K368" s="13" t="n"/>
    </row>
    <row r="369">
      <c r="I369" s="13" t="n"/>
      <c r="J369" s="13" t="n"/>
      <c r="K369" s="13" t="n"/>
    </row>
    <row r="370">
      <c r="I370" s="13" t="n"/>
      <c r="J370" s="13" t="n"/>
      <c r="K370" s="13" t="n"/>
    </row>
    <row r="371">
      <c r="I371" s="13" t="n"/>
      <c r="J371" s="13" t="n"/>
      <c r="K371" s="13" t="n"/>
    </row>
    <row r="372">
      <c r="I372" s="13" t="n"/>
      <c r="J372" s="13" t="n"/>
      <c r="K372" s="13" t="n"/>
    </row>
    <row r="373">
      <c r="I373" s="13" t="n"/>
      <c r="J373" s="13" t="n"/>
      <c r="K373" s="13" t="n"/>
    </row>
    <row r="374">
      <c r="I374" s="13" t="n"/>
      <c r="J374" s="13" t="n"/>
      <c r="K374" s="13" t="n"/>
    </row>
    <row r="375">
      <c r="I375" s="13" t="n"/>
      <c r="J375" s="13" t="n"/>
      <c r="K375" s="13" t="n"/>
    </row>
    <row r="376">
      <c r="I376" s="13" t="n"/>
      <c r="J376" s="13" t="n"/>
      <c r="K376" s="13" t="n"/>
    </row>
    <row r="377">
      <c r="I377" s="13" t="n"/>
      <c r="J377" s="13" t="n"/>
      <c r="K377" s="13" t="n"/>
    </row>
    <row r="378">
      <c r="I378" s="13" t="n"/>
      <c r="J378" s="13" t="n"/>
      <c r="K378" s="13" t="n"/>
    </row>
    <row r="379">
      <c r="I379" s="13" t="n"/>
      <c r="J379" s="13" t="n"/>
      <c r="K379" s="13" t="n"/>
    </row>
    <row r="380">
      <c r="I380" s="13" t="n"/>
      <c r="J380" s="13" t="n"/>
      <c r="K380" s="13" t="n"/>
    </row>
    <row r="381">
      <c r="I381" s="13" t="n"/>
      <c r="J381" s="13" t="n"/>
      <c r="K381" s="13" t="n"/>
    </row>
    <row r="382">
      <c r="I382" s="13" t="n"/>
      <c r="J382" s="13" t="n"/>
      <c r="K382" s="13" t="n"/>
    </row>
    <row r="383">
      <c r="I383" s="13" t="n"/>
      <c r="J383" s="13" t="n"/>
      <c r="K383" s="13" t="n"/>
    </row>
    <row r="384">
      <c r="I384" s="13" t="n"/>
      <c r="J384" s="13" t="n"/>
      <c r="K384" s="13" t="n"/>
    </row>
    <row r="385">
      <c r="I385" s="13" t="n"/>
      <c r="J385" s="13" t="n"/>
      <c r="K385" s="13" t="n"/>
    </row>
    <row r="386">
      <c r="I386" s="13" t="n"/>
      <c r="J386" s="13" t="n"/>
      <c r="K386" s="13" t="n"/>
    </row>
    <row r="387">
      <c r="I387" s="13" t="n"/>
      <c r="J387" s="13" t="n"/>
      <c r="K387" s="13" t="n"/>
    </row>
    <row r="388">
      <c r="I388" s="13" t="n"/>
      <c r="J388" s="13" t="n"/>
      <c r="K388" s="13" t="n"/>
    </row>
    <row r="389">
      <c r="I389" s="13" t="n"/>
      <c r="J389" s="13" t="n"/>
      <c r="K389" s="13" t="n"/>
    </row>
    <row r="390">
      <c r="I390" s="13" t="n"/>
      <c r="J390" s="13" t="n"/>
      <c r="K390" s="13" t="n"/>
    </row>
    <row r="391">
      <c r="I391" s="13" t="n"/>
      <c r="J391" s="13" t="n"/>
      <c r="K391" s="13" t="n"/>
    </row>
    <row r="392">
      <c r="I392" s="13" t="n"/>
      <c r="J392" s="13" t="n"/>
      <c r="K392" s="13" t="n"/>
    </row>
    <row r="393">
      <c r="I393" s="13" t="n"/>
      <c r="J393" s="13" t="n"/>
      <c r="K393" s="13" t="n"/>
    </row>
    <row r="394">
      <c r="I394" s="13" t="n"/>
      <c r="J394" s="13" t="n"/>
      <c r="K394" s="13" t="n"/>
    </row>
    <row r="395">
      <c r="I395" s="13" t="n"/>
      <c r="J395" s="13" t="n"/>
      <c r="K395" s="13" t="n"/>
    </row>
    <row r="396">
      <c r="I396" s="13" t="n"/>
      <c r="J396" s="13" t="n"/>
      <c r="K396" s="13" t="n"/>
    </row>
    <row r="397">
      <c r="I397" s="13" t="n"/>
      <c r="J397" s="13" t="n"/>
      <c r="K397" s="13" t="n"/>
    </row>
    <row r="398">
      <c r="I398" s="13" t="n"/>
      <c r="J398" s="13" t="n"/>
      <c r="K398" s="13" t="n"/>
    </row>
    <row r="399">
      <c r="I399" s="13" t="n"/>
      <c r="J399" s="13" t="n"/>
      <c r="K399" s="13" t="n"/>
    </row>
    <row r="400">
      <c r="I400" s="13" t="n"/>
      <c r="J400" s="13" t="n"/>
      <c r="K400" s="13" t="n"/>
    </row>
    <row r="401">
      <c r="I401" s="13" t="n"/>
      <c r="J401" s="13" t="n"/>
      <c r="K401" s="13" t="n"/>
    </row>
    <row r="402">
      <c r="I402" s="13" t="n"/>
      <c r="J402" s="13" t="n"/>
      <c r="K402" s="13" t="n"/>
    </row>
    <row r="403">
      <c r="I403" s="13" t="n"/>
      <c r="J403" s="13" t="n"/>
      <c r="K403" s="13" t="n"/>
    </row>
    <row r="404">
      <c r="I404" s="13" t="n"/>
      <c r="J404" s="13" t="n"/>
      <c r="K404" s="13" t="n"/>
    </row>
    <row r="405">
      <c r="I405" s="13" t="n"/>
      <c r="J405" s="13" t="n"/>
      <c r="K405" s="13" t="n"/>
    </row>
    <row r="406">
      <c r="I406" s="13" t="n"/>
      <c r="J406" s="13" t="n"/>
      <c r="K406" s="13" t="n"/>
    </row>
    <row r="407">
      <c r="I407" s="13" t="n"/>
      <c r="J407" s="13" t="n"/>
      <c r="K407" s="13" t="n"/>
    </row>
    <row r="408">
      <c r="I408" s="13" t="n"/>
      <c r="J408" s="13" t="n"/>
      <c r="K408" s="13" t="n"/>
    </row>
    <row r="409">
      <c r="I409" s="13" t="n"/>
      <c r="J409" s="13" t="n"/>
      <c r="K409" s="13" t="n"/>
    </row>
    <row r="410">
      <c r="I410" s="13" t="n"/>
      <c r="J410" s="13" t="n"/>
      <c r="K410" s="13" t="n"/>
    </row>
    <row r="411">
      <c r="I411" s="13" t="n"/>
      <c r="J411" s="13" t="n"/>
      <c r="K411" s="13" t="n"/>
    </row>
    <row r="412">
      <c r="I412" s="13" t="n"/>
      <c r="J412" s="13" t="n"/>
      <c r="K412" s="13" t="n"/>
    </row>
    <row r="413">
      <c r="I413" s="13" t="n"/>
      <c r="J413" s="13" t="n"/>
      <c r="K413" s="13" t="n"/>
    </row>
    <row r="414">
      <c r="I414" s="13" t="n"/>
      <c r="J414" s="13" t="n"/>
      <c r="K414" s="13" t="n"/>
    </row>
    <row r="415">
      <c r="I415" s="13" t="n"/>
      <c r="J415" s="13" t="n"/>
      <c r="K415" s="13" t="n"/>
    </row>
    <row r="416">
      <c r="I416" s="13" t="n"/>
      <c r="J416" s="13" t="n"/>
      <c r="K416" s="13" t="n"/>
    </row>
    <row r="417">
      <c r="I417" s="13" t="n"/>
      <c r="J417" s="13" t="n"/>
      <c r="K417" s="13" t="n"/>
    </row>
    <row r="418">
      <c r="I418" s="13" t="n"/>
      <c r="J418" s="13" t="n"/>
      <c r="K418" s="13" t="n"/>
    </row>
    <row r="419">
      <c r="I419" s="13" t="n"/>
      <c r="J419" s="13" t="n"/>
      <c r="K419" s="13" t="n"/>
    </row>
    <row r="420">
      <c r="I420" s="13" t="n"/>
      <c r="J420" s="13" t="n"/>
      <c r="K420" s="13" t="n"/>
    </row>
    <row r="421">
      <c r="I421" s="13" t="n"/>
      <c r="J421" s="13" t="n"/>
      <c r="K421" s="13" t="n"/>
    </row>
    <row r="422">
      <c r="I422" s="13" t="n"/>
      <c r="J422" s="13" t="n"/>
      <c r="K422" s="13" t="n"/>
    </row>
    <row r="423">
      <c r="I423" s="13" t="n"/>
      <c r="J423" s="13" t="n"/>
      <c r="K423" s="13" t="n"/>
    </row>
    <row r="424">
      <c r="I424" s="13" t="n"/>
      <c r="J424" s="13" t="n"/>
      <c r="K424" s="13" t="n"/>
    </row>
    <row r="425">
      <c r="I425" s="13" t="n"/>
      <c r="J425" s="13" t="n"/>
      <c r="K425" s="13" t="n"/>
    </row>
    <row r="426">
      <c r="I426" s="13" t="n"/>
      <c r="J426" s="13" t="n"/>
      <c r="K426" s="13" t="n"/>
    </row>
    <row r="427">
      <c r="I427" s="13" t="n"/>
      <c r="J427" s="13" t="n"/>
      <c r="K427" s="13" t="n"/>
    </row>
    <row r="428">
      <c r="I428" s="13" t="n"/>
      <c r="J428" s="13" t="n"/>
      <c r="K428" s="13" t="n"/>
    </row>
    <row r="429">
      <c r="I429" s="13" t="n"/>
      <c r="J429" s="13" t="n"/>
      <c r="K429" s="13" t="n"/>
    </row>
    <row r="430">
      <c r="I430" s="13" t="n"/>
      <c r="J430" s="13" t="n"/>
      <c r="K430" s="13" t="n"/>
    </row>
    <row r="431">
      <c r="I431" s="13" t="n"/>
      <c r="J431" s="13" t="n"/>
      <c r="K431" s="13" t="n"/>
    </row>
    <row r="432">
      <c r="I432" s="13" t="n"/>
      <c r="J432" s="13" t="n"/>
      <c r="K432" s="13" t="n"/>
    </row>
    <row r="433">
      <c r="I433" s="13" t="n"/>
      <c r="J433" s="13" t="n"/>
      <c r="K433" s="13" t="n"/>
    </row>
    <row r="434">
      <c r="I434" s="13" t="n"/>
      <c r="J434" s="13" t="n"/>
      <c r="K434" s="13" t="n"/>
    </row>
    <row r="435">
      <c r="I435" s="13" t="n"/>
      <c r="J435" s="13" t="n"/>
      <c r="K435" s="13" t="n"/>
    </row>
    <row r="436">
      <c r="I436" s="13" t="n"/>
      <c r="J436" s="13" t="n"/>
      <c r="K436" s="13" t="n"/>
    </row>
    <row r="437">
      <c r="I437" s="13" t="n"/>
      <c r="J437" s="13" t="n"/>
      <c r="K437" s="13" t="n"/>
    </row>
    <row r="438">
      <c r="I438" s="13" t="n"/>
      <c r="J438" s="13" t="n"/>
      <c r="K438" s="13" t="n"/>
    </row>
    <row r="439">
      <c r="I439" s="13" t="n"/>
      <c r="J439" s="13" t="n"/>
      <c r="K439" s="13" t="n"/>
    </row>
    <row r="440">
      <c r="I440" s="13" t="n"/>
      <c r="J440" s="13" t="n"/>
      <c r="K440" s="13" t="n"/>
    </row>
    <row r="441">
      <c r="I441" s="13" t="n"/>
      <c r="J441" s="13" t="n"/>
      <c r="K441" s="13" t="n"/>
    </row>
    <row r="442">
      <c r="I442" s="13" t="n"/>
      <c r="J442" s="13" t="n"/>
      <c r="K442" s="13" t="n"/>
    </row>
    <row r="443">
      <c r="I443" s="13" t="n"/>
      <c r="J443" s="13" t="n"/>
      <c r="K443" s="13" t="n"/>
    </row>
    <row r="444">
      <c r="I444" s="13" t="n"/>
      <c r="J444" s="13" t="n"/>
      <c r="K444" s="13" t="n"/>
    </row>
    <row r="445">
      <c r="I445" s="13" t="n"/>
      <c r="J445" s="13" t="n"/>
      <c r="K445" s="13" t="n"/>
    </row>
    <row r="446">
      <c r="I446" s="13" t="n"/>
      <c r="J446" s="13" t="n"/>
      <c r="K446" s="13" t="n"/>
    </row>
    <row r="447">
      <c r="I447" s="13" t="n"/>
      <c r="J447" s="13" t="n"/>
      <c r="K447" s="13" t="n"/>
    </row>
    <row r="448">
      <c r="I448" s="13" t="n"/>
      <c r="J448" s="13" t="n"/>
      <c r="K448" s="13" t="n"/>
    </row>
    <row r="449">
      <c r="I449" s="13" t="n"/>
      <c r="J449" s="13" t="n"/>
      <c r="K449" s="13" t="n"/>
    </row>
    <row r="450">
      <c r="I450" s="13" t="n"/>
      <c r="J450" s="13" t="n"/>
      <c r="K450" s="13" t="n"/>
    </row>
    <row r="451">
      <c r="I451" s="13" t="n"/>
      <c r="J451" s="13" t="n"/>
      <c r="K451" s="13" t="n"/>
    </row>
    <row r="452">
      <c r="I452" s="13" t="n"/>
      <c r="J452" s="13" t="n"/>
      <c r="K452" s="13" t="n"/>
    </row>
    <row r="453">
      <c r="I453" s="13" t="n"/>
      <c r="J453" s="13" t="n"/>
      <c r="K453" s="13" t="n"/>
    </row>
    <row r="454">
      <c r="I454" s="13" t="n"/>
      <c r="J454" s="13" t="n"/>
      <c r="K454" s="13" t="n"/>
    </row>
    <row r="455">
      <c r="I455" s="13" t="n"/>
      <c r="J455" s="13" t="n"/>
      <c r="K455" s="13" t="n"/>
    </row>
    <row r="456">
      <c r="I456" s="13" t="n"/>
      <c r="J456" s="13" t="n"/>
      <c r="K456" s="13" t="n"/>
    </row>
    <row r="457">
      <c r="I457" s="13" t="n"/>
      <c r="J457" s="13" t="n"/>
      <c r="K457" s="13" t="n"/>
    </row>
    <row r="458">
      <c r="I458" s="13" t="n"/>
      <c r="J458" s="13" t="n"/>
      <c r="K458" s="13" t="n"/>
    </row>
    <row r="459">
      <c r="I459" s="13" t="n"/>
      <c r="J459" s="13" t="n"/>
      <c r="K459" s="13" t="n"/>
    </row>
    <row r="460">
      <c r="I460" s="13" t="n"/>
      <c r="J460" s="13" t="n"/>
      <c r="K460" s="13" t="n"/>
    </row>
    <row r="461">
      <c r="I461" s="13" t="n"/>
      <c r="J461" s="13" t="n"/>
      <c r="K461" s="13" t="n"/>
    </row>
    <row r="462">
      <c r="I462" s="13" t="n"/>
      <c r="J462" s="13" t="n"/>
      <c r="K462" s="13" t="n"/>
    </row>
    <row r="463">
      <c r="I463" s="13" t="n"/>
      <c r="J463" s="13" t="n"/>
      <c r="K463" s="13" t="n"/>
    </row>
    <row r="464">
      <c r="I464" s="13" t="n"/>
      <c r="J464" s="13" t="n"/>
      <c r="K464" s="13" t="n"/>
    </row>
    <row r="465">
      <c r="I465" s="13" t="n"/>
      <c r="J465" s="13" t="n"/>
      <c r="K465" s="13" t="n"/>
    </row>
    <row r="466">
      <c r="I466" s="13" t="n"/>
      <c r="J466" s="13" t="n"/>
      <c r="K466" s="13" t="n"/>
    </row>
    <row r="467">
      <c r="I467" s="13" t="n"/>
      <c r="J467" s="13" t="n"/>
      <c r="K467" s="13" t="n"/>
    </row>
    <row r="468">
      <c r="I468" s="13" t="n"/>
      <c r="J468" s="13" t="n"/>
      <c r="K468" s="13" t="n"/>
    </row>
    <row r="469">
      <c r="I469" s="13" t="n"/>
      <c r="J469" s="13" t="n"/>
      <c r="K469" s="13" t="n"/>
    </row>
    <row r="470">
      <c r="I470" s="13" t="n"/>
      <c r="J470" s="13" t="n"/>
      <c r="K470" s="13" t="n"/>
    </row>
    <row r="471">
      <c r="I471" s="13" t="n"/>
      <c r="J471" s="13" t="n"/>
      <c r="K471" s="13" t="n"/>
    </row>
    <row r="472">
      <c r="I472" s="13" t="n"/>
      <c r="J472" s="13" t="n"/>
      <c r="K472" s="13" t="n"/>
    </row>
    <row r="473">
      <c r="I473" s="13" t="n"/>
      <c r="J473" s="13" t="n"/>
      <c r="K473" s="13" t="n"/>
    </row>
    <row r="474">
      <c r="I474" s="13" t="n"/>
      <c r="J474" s="13" t="n"/>
      <c r="K474" s="13" t="n"/>
    </row>
    <row r="475">
      <c r="I475" s="13" t="n"/>
      <c r="J475" s="13" t="n"/>
      <c r="K475" s="13" t="n"/>
    </row>
    <row r="476">
      <c r="I476" s="13" t="n"/>
      <c r="J476" s="13" t="n"/>
      <c r="K476" s="13" t="n"/>
    </row>
    <row r="477">
      <c r="I477" s="13" t="n"/>
      <c r="J477" s="13" t="n"/>
      <c r="K477" s="13" t="n"/>
    </row>
    <row r="478">
      <c r="I478" s="13" t="n"/>
      <c r="J478" s="13" t="n"/>
      <c r="K478" s="13" t="n"/>
    </row>
    <row r="479">
      <c r="I479" s="13" t="n"/>
      <c r="J479" s="13" t="n"/>
      <c r="K479" s="13" t="n"/>
    </row>
    <row r="480">
      <c r="I480" s="13" t="n"/>
      <c r="J480" s="13" t="n"/>
      <c r="K480" s="13" t="n"/>
    </row>
    <row r="481">
      <c r="I481" s="13" t="n"/>
      <c r="J481" s="13" t="n"/>
      <c r="K481" s="13" t="n"/>
    </row>
    <row r="482">
      <c r="I482" s="13" t="n"/>
      <c r="J482" s="13" t="n"/>
      <c r="K482" s="13" t="n"/>
    </row>
    <row r="483">
      <c r="I483" s="13" t="n"/>
      <c r="J483" s="13" t="n"/>
      <c r="K483" s="13" t="n"/>
    </row>
    <row r="484">
      <c r="I484" s="13" t="n"/>
      <c r="J484" s="13" t="n"/>
      <c r="K484" s="13" t="n"/>
    </row>
    <row r="485">
      <c r="I485" s="13" t="n"/>
      <c r="J485" s="13" t="n"/>
      <c r="K485" s="13" t="n"/>
    </row>
    <row r="486">
      <c r="I486" s="13" t="n"/>
      <c r="J486" s="13" t="n"/>
      <c r="K486" s="13" t="n"/>
    </row>
    <row r="487">
      <c r="I487" s="13" t="n"/>
      <c r="J487" s="13" t="n"/>
      <c r="K487" s="13" t="n"/>
    </row>
    <row r="488">
      <c r="I488" s="13" t="n"/>
      <c r="J488" s="13" t="n"/>
      <c r="K488" s="13" t="n"/>
    </row>
    <row r="489">
      <c r="I489" s="13" t="n"/>
      <c r="J489" s="13" t="n"/>
      <c r="K489" s="13" t="n"/>
    </row>
    <row r="490">
      <c r="I490" s="13" t="n"/>
      <c r="J490" s="13" t="n"/>
      <c r="K490" s="13" t="n"/>
    </row>
    <row r="491">
      <c r="I491" s="13" t="n"/>
      <c r="J491" s="13" t="n"/>
      <c r="K491" s="13" t="n"/>
    </row>
    <row r="492">
      <c r="I492" s="13" t="n"/>
      <c r="J492" s="13" t="n"/>
      <c r="K492" s="13" t="n"/>
    </row>
    <row r="493">
      <c r="I493" s="13" t="n"/>
      <c r="J493" s="13" t="n"/>
      <c r="K493" s="13" t="n"/>
    </row>
    <row r="494">
      <c r="I494" s="13" t="n"/>
      <c r="J494" s="13" t="n"/>
      <c r="K494" s="13" t="n"/>
    </row>
    <row r="495">
      <c r="I495" s="13" t="n"/>
      <c r="J495" s="13" t="n"/>
      <c r="K495" s="13" t="n"/>
    </row>
    <row r="496">
      <c r="I496" s="13" t="n"/>
      <c r="J496" s="13" t="n"/>
      <c r="K496" s="13" t="n"/>
    </row>
    <row r="497">
      <c r="I497" s="13" t="n"/>
      <c r="J497" s="13" t="n"/>
      <c r="K497" s="13" t="n"/>
    </row>
    <row r="498">
      <c r="I498" s="13" t="n"/>
      <c r="J498" s="13" t="n"/>
      <c r="K498" s="13" t="n"/>
    </row>
    <row r="499">
      <c r="I499" s="13" t="n"/>
      <c r="J499" s="13" t="n"/>
      <c r="K499" s="13" t="n"/>
    </row>
    <row r="500">
      <c r="I500" s="13" t="n"/>
      <c r="J500" s="13" t="n"/>
      <c r="K500" s="13" t="n"/>
    </row>
    <row r="501">
      <c r="I501" s="13" t="n"/>
      <c r="J501" s="13" t="n"/>
      <c r="K501" s="13" t="n"/>
    </row>
    <row r="502">
      <c r="I502" s="13" t="n"/>
      <c r="J502" s="13" t="n"/>
      <c r="K502" s="13" t="n"/>
    </row>
    <row r="503">
      <c r="I503" s="13" t="n"/>
      <c r="J503" s="13" t="n"/>
      <c r="K503" s="13" t="n"/>
    </row>
    <row r="504">
      <c r="I504" s="13" t="n"/>
      <c r="J504" s="13" t="n"/>
      <c r="K504" s="13" t="n"/>
    </row>
    <row r="505">
      <c r="I505" s="13" t="n"/>
      <c r="J505" s="13" t="n"/>
      <c r="K505" s="13" t="n"/>
    </row>
    <row r="506">
      <c r="I506" s="13" t="n"/>
      <c r="J506" s="13" t="n"/>
      <c r="K506" s="13" t="n"/>
    </row>
    <row r="507">
      <c r="I507" s="13" t="n"/>
      <c r="J507" s="13" t="n"/>
      <c r="K507" s="13" t="n"/>
    </row>
    <row r="508">
      <c r="I508" s="13" t="n"/>
      <c r="J508" s="13" t="n"/>
      <c r="K508" s="13" t="n"/>
    </row>
    <row r="509">
      <c r="I509" s="13" t="n"/>
      <c r="J509" s="13" t="n"/>
      <c r="K509" s="13" t="n"/>
    </row>
    <row r="510">
      <c r="I510" s="13" t="n"/>
      <c r="J510" s="13" t="n"/>
      <c r="K510" s="13" t="n"/>
    </row>
    <row r="511">
      <c r="I511" s="13" t="n"/>
      <c r="J511" s="13" t="n"/>
      <c r="K511" s="13" t="n"/>
    </row>
    <row r="512">
      <c r="I512" s="13" t="n"/>
      <c r="J512" s="13" t="n"/>
      <c r="K512" s="13" t="n"/>
    </row>
    <row r="513">
      <c r="I513" s="13" t="n"/>
      <c r="J513" s="13" t="n"/>
      <c r="K513" s="13" t="n"/>
    </row>
    <row r="514">
      <c r="I514" s="13" t="n"/>
      <c r="J514" s="13" t="n"/>
      <c r="K514" s="13" t="n"/>
    </row>
    <row r="515">
      <c r="I515" s="13" t="n"/>
      <c r="J515" s="13" t="n"/>
      <c r="K515" s="13" t="n"/>
    </row>
    <row r="516">
      <c r="I516" s="13" t="n"/>
      <c r="J516" s="13" t="n"/>
      <c r="K516" s="13" t="n"/>
    </row>
    <row r="517">
      <c r="I517" s="13" t="n"/>
      <c r="J517" s="13" t="n"/>
      <c r="K517" s="13" t="n"/>
    </row>
    <row r="518">
      <c r="I518" s="13" t="n"/>
      <c r="J518" s="13" t="n"/>
      <c r="K518" s="13" t="n"/>
    </row>
    <row r="519">
      <c r="I519" s="13" t="n"/>
      <c r="J519" s="13" t="n"/>
      <c r="K519" s="13" t="n"/>
    </row>
    <row r="520">
      <c r="I520" s="13" t="n"/>
      <c r="J520" s="13" t="n"/>
      <c r="K520" s="13" t="n"/>
    </row>
    <row r="521">
      <c r="I521" s="13" t="n"/>
      <c r="J521" s="13" t="n"/>
      <c r="K521" s="13" t="n"/>
    </row>
    <row r="522">
      <c r="I522" s="13" t="n"/>
      <c r="J522" s="13" t="n"/>
      <c r="K522" s="13" t="n"/>
    </row>
    <row r="523">
      <c r="I523" s="13" t="n"/>
      <c r="J523" s="13" t="n"/>
      <c r="K523" s="13" t="n"/>
    </row>
    <row r="524">
      <c r="I524" s="13" t="n"/>
      <c r="J524" s="13" t="n"/>
      <c r="K524" s="13" t="n"/>
    </row>
    <row r="525">
      <c r="I525" s="13" t="n"/>
      <c r="J525" s="13" t="n"/>
      <c r="K525" s="13" t="n"/>
    </row>
    <row r="526">
      <c r="I526" s="13" t="n"/>
      <c r="J526" s="13" t="n"/>
      <c r="K526" s="13" t="n"/>
    </row>
    <row r="527">
      <c r="I527" s="13" t="n"/>
      <c r="J527" s="13" t="n"/>
      <c r="K527" s="13" t="n"/>
    </row>
    <row r="528">
      <c r="I528" s="13" t="n"/>
      <c r="J528" s="13" t="n"/>
      <c r="K528" s="13" t="n"/>
    </row>
    <row r="529">
      <c r="I529" s="13" t="n"/>
      <c r="J529" s="13" t="n"/>
      <c r="K529" s="13" t="n"/>
    </row>
    <row r="530">
      <c r="I530" s="13" t="n"/>
      <c r="J530" s="13" t="n"/>
      <c r="K530" s="13" t="n"/>
    </row>
    <row r="531">
      <c r="I531" s="13" t="n"/>
      <c r="J531" s="13" t="n"/>
      <c r="K531" s="13" t="n"/>
    </row>
    <row r="532">
      <c r="I532" s="13" t="n"/>
      <c r="J532" s="13" t="n"/>
      <c r="K532" s="13" t="n"/>
    </row>
    <row r="533">
      <c r="I533" s="13" t="n"/>
      <c r="J533" s="13" t="n"/>
      <c r="K533" s="13" t="n"/>
    </row>
    <row r="534">
      <c r="I534" s="13" t="n"/>
      <c r="J534" s="13" t="n"/>
      <c r="K534" s="13" t="n"/>
    </row>
    <row r="535">
      <c r="I535" s="13" t="n"/>
      <c r="J535" s="13" t="n"/>
      <c r="K535" s="13" t="n"/>
    </row>
    <row r="536">
      <c r="I536" s="13" t="n"/>
      <c r="J536" s="13" t="n"/>
      <c r="K536" s="13" t="n"/>
    </row>
    <row r="537">
      <c r="I537" s="13" t="n"/>
      <c r="J537" s="13" t="n"/>
      <c r="K537" s="13" t="n"/>
    </row>
    <row r="538">
      <c r="I538" s="13" t="n"/>
      <c r="J538" s="13" t="n"/>
      <c r="K538" s="13" t="n"/>
    </row>
    <row r="539">
      <c r="I539" s="13" t="n"/>
      <c r="J539" s="13" t="n"/>
      <c r="K539" s="13" t="n"/>
    </row>
    <row r="540">
      <c r="I540" s="13" t="n"/>
      <c r="J540" s="13" t="n"/>
      <c r="K540" s="13" t="n"/>
    </row>
    <row r="541">
      <c r="I541" s="13" t="n"/>
      <c r="J541" s="13" t="n"/>
      <c r="K541" s="13" t="n"/>
    </row>
    <row r="542">
      <c r="I542" s="13" t="n"/>
      <c r="J542" s="13" t="n"/>
      <c r="K542" s="13" t="n"/>
    </row>
    <row r="543">
      <c r="I543" s="13" t="n"/>
      <c r="J543" s="13" t="n"/>
      <c r="K543" s="13" t="n"/>
    </row>
    <row r="544">
      <c r="I544" s="13" t="n"/>
      <c r="J544" s="13" t="n"/>
      <c r="K544" s="13" t="n"/>
    </row>
    <row r="545">
      <c r="I545" s="13" t="n"/>
      <c r="J545" s="13" t="n"/>
      <c r="K545" s="13" t="n"/>
    </row>
    <row r="546">
      <c r="I546" s="13" t="n"/>
      <c r="J546" s="13" t="n"/>
      <c r="K546" s="13" t="n"/>
    </row>
    <row r="547">
      <c r="I547" s="13" t="n"/>
      <c r="J547" s="13" t="n"/>
      <c r="K547" s="13" t="n"/>
    </row>
    <row r="548">
      <c r="I548" s="13" t="n"/>
      <c r="J548" s="13" t="n"/>
      <c r="K548" s="13" t="n"/>
    </row>
    <row r="549">
      <c r="I549" s="13" t="n"/>
      <c r="J549" s="13" t="n"/>
      <c r="K549" s="13" t="n"/>
    </row>
    <row r="550">
      <c r="I550" s="13" t="n"/>
      <c r="J550" s="13" t="n"/>
      <c r="K550" s="13" t="n"/>
    </row>
    <row r="551">
      <c r="I551" s="13" t="n"/>
      <c r="J551" s="13" t="n"/>
      <c r="K551" s="13" t="n"/>
    </row>
    <row r="552">
      <c r="I552" s="13" t="n"/>
      <c r="J552" s="13" t="n"/>
      <c r="K552" s="13" t="n"/>
    </row>
    <row r="553">
      <c r="I553" s="13" t="n"/>
      <c r="J553" s="13" t="n"/>
      <c r="K553" s="13" t="n"/>
    </row>
    <row r="554">
      <c r="I554" s="13" t="n"/>
      <c r="J554" s="13" t="n"/>
      <c r="K554" s="13" t="n"/>
    </row>
    <row r="555">
      <c r="I555" s="13" t="n"/>
      <c r="J555" s="13" t="n"/>
      <c r="K555" s="13" t="n"/>
    </row>
    <row r="556">
      <c r="I556" s="13" t="n"/>
      <c r="J556" s="13" t="n"/>
      <c r="K556" s="13" t="n"/>
    </row>
    <row r="557">
      <c r="I557" s="13" t="n"/>
      <c r="J557" s="13" t="n"/>
      <c r="K557" s="13" t="n"/>
    </row>
    <row r="558">
      <c r="I558" s="13" t="n"/>
      <c r="J558" s="13" t="n"/>
      <c r="K558" s="13" t="n"/>
    </row>
    <row r="559">
      <c r="I559" s="13" t="n"/>
      <c r="J559" s="13" t="n"/>
      <c r="K559" s="13" t="n"/>
    </row>
    <row r="560">
      <c r="I560" s="13" t="n"/>
      <c r="J560" s="13" t="n"/>
      <c r="K560" s="13" t="n"/>
    </row>
    <row r="561">
      <c r="I561" s="13" t="n"/>
      <c r="J561" s="13" t="n"/>
      <c r="K561" s="13" t="n"/>
    </row>
    <row r="562">
      <c r="I562" s="13" t="n"/>
      <c r="J562" s="13" t="n"/>
      <c r="K562" s="13" t="n"/>
    </row>
    <row r="563">
      <c r="I563" s="13" t="n"/>
      <c r="J563" s="13" t="n"/>
      <c r="K563" s="13" t="n"/>
    </row>
    <row r="564">
      <c r="I564" s="13" t="n"/>
      <c r="J564" s="13" t="n"/>
      <c r="K564" s="13" t="n"/>
    </row>
    <row r="565">
      <c r="I565" s="13" t="n"/>
      <c r="J565" s="13" t="n"/>
      <c r="K565" s="13" t="n"/>
    </row>
    <row r="566">
      <c r="I566" s="13" t="n"/>
      <c r="J566" s="13" t="n"/>
      <c r="K566" s="13" t="n"/>
    </row>
    <row r="567">
      <c r="I567" s="13" t="n"/>
      <c r="J567" s="13" t="n"/>
      <c r="K567" s="13" t="n"/>
    </row>
    <row r="568">
      <c r="I568" s="13" t="n"/>
      <c r="J568" s="13" t="n"/>
      <c r="K568" s="13" t="n"/>
    </row>
    <row r="569">
      <c r="I569" s="13" t="n"/>
      <c r="J569" s="13" t="n"/>
      <c r="K569" s="13" t="n"/>
    </row>
    <row r="570">
      <c r="I570" s="13" t="n"/>
      <c r="J570" s="13" t="n"/>
      <c r="K570" s="13" t="n"/>
    </row>
    <row r="571">
      <c r="I571" s="13" t="n"/>
      <c r="J571" s="13" t="n"/>
      <c r="K571" s="13" t="n"/>
    </row>
    <row r="572">
      <c r="I572" s="13" t="n"/>
      <c r="J572" s="13" t="n"/>
      <c r="K572" s="13" t="n"/>
    </row>
    <row r="573">
      <c r="I573" s="13" t="n"/>
      <c r="J573" s="13" t="n"/>
      <c r="K573" s="13" t="n"/>
    </row>
    <row r="574">
      <c r="I574" s="13" t="n"/>
      <c r="J574" s="13" t="n"/>
      <c r="K574" s="13" t="n"/>
    </row>
    <row r="575">
      <c r="I575" s="13" t="n"/>
      <c r="J575" s="13" t="n"/>
      <c r="K575" s="13" t="n"/>
    </row>
    <row r="576">
      <c r="I576" s="13" t="n"/>
      <c r="J576" s="13" t="n"/>
      <c r="K576" s="13" t="n"/>
    </row>
    <row r="577">
      <c r="I577" s="13" t="n"/>
      <c r="J577" s="13" t="n"/>
      <c r="K577" s="13" t="n"/>
    </row>
    <row r="578">
      <c r="I578" s="13" t="n"/>
      <c r="J578" s="13" t="n"/>
      <c r="K578" s="13" t="n"/>
    </row>
    <row r="579">
      <c r="I579" s="13" t="n"/>
      <c r="J579" s="13" t="n"/>
      <c r="K579" s="13" t="n"/>
    </row>
    <row r="580">
      <c r="I580" s="13" t="n"/>
      <c r="J580" s="13" t="n"/>
      <c r="K580" s="13" t="n"/>
    </row>
    <row r="581">
      <c r="I581" s="13" t="n"/>
      <c r="J581" s="13" t="n"/>
      <c r="K581" s="13" t="n"/>
    </row>
    <row r="582">
      <c r="I582" s="13" t="n"/>
      <c r="J582" s="13" t="n"/>
      <c r="K582" s="13" t="n"/>
    </row>
    <row r="583">
      <c r="I583" s="13" t="n"/>
      <c r="J583" s="13" t="n"/>
      <c r="K583" s="13" t="n"/>
    </row>
    <row r="584">
      <c r="I584" s="13" t="n"/>
      <c r="J584" s="13" t="n"/>
      <c r="K584" s="13" t="n"/>
    </row>
    <row r="585">
      <c r="I585" s="13" t="n"/>
      <c r="J585" s="13" t="n"/>
      <c r="K585" s="13" t="n"/>
    </row>
    <row r="586">
      <c r="I586" s="13" t="n"/>
      <c r="J586" s="13" t="n"/>
      <c r="K586" s="13" t="n"/>
    </row>
    <row r="587">
      <c r="I587" s="13" t="n"/>
      <c r="J587" s="13" t="n"/>
      <c r="K587" s="13" t="n"/>
    </row>
    <row r="588">
      <c r="I588" s="13" t="n"/>
      <c r="J588" s="13" t="n"/>
      <c r="K588" s="13" t="n"/>
    </row>
    <row r="589">
      <c r="I589" s="13" t="n"/>
      <c r="J589" s="13" t="n"/>
      <c r="K589" s="13" t="n"/>
    </row>
    <row r="590">
      <c r="I590" s="13" t="n"/>
      <c r="J590" s="13" t="n"/>
      <c r="K590" s="13" t="n"/>
    </row>
    <row r="591">
      <c r="I591" s="13" t="n"/>
      <c r="J591" s="13" t="n"/>
      <c r="K591" s="13" t="n"/>
    </row>
    <row r="592">
      <c r="I592" s="13" t="n"/>
      <c r="J592" s="13" t="n"/>
      <c r="K592" s="13" t="n"/>
    </row>
    <row r="593">
      <c r="I593" s="13" t="n"/>
      <c r="J593" s="13" t="n"/>
      <c r="K593" s="13" t="n"/>
    </row>
    <row r="594">
      <c r="I594" s="13" t="n"/>
      <c r="J594" s="13" t="n"/>
      <c r="K594" s="13" t="n"/>
    </row>
    <row r="595">
      <c r="I595" s="13" t="n"/>
      <c r="J595" s="13" t="n"/>
      <c r="K595" s="13" t="n"/>
    </row>
    <row r="596">
      <c r="I596" s="13" t="n"/>
      <c r="J596" s="13" t="n"/>
      <c r="K596" s="13" t="n"/>
    </row>
    <row r="597">
      <c r="I597" s="13" t="n"/>
      <c r="J597" s="13" t="n"/>
      <c r="K597" s="13" t="n"/>
    </row>
    <row r="598">
      <c r="I598" s="13" t="n"/>
      <c r="J598" s="13" t="n"/>
      <c r="K598" s="13" t="n"/>
    </row>
    <row r="599">
      <c r="I599" s="13" t="n"/>
      <c r="J599" s="13" t="n"/>
      <c r="K599" s="13" t="n"/>
    </row>
    <row r="600">
      <c r="I600" s="13" t="n"/>
      <c r="J600" s="13" t="n"/>
      <c r="K600" s="13" t="n"/>
    </row>
    <row r="601">
      <c r="I601" s="13" t="n"/>
      <c r="J601" s="13" t="n"/>
      <c r="K601" s="13" t="n"/>
    </row>
    <row r="602">
      <c r="I602" s="13" t="n"/>
      <c r="J602" s="13" t="n"/>
      <c r="K602" s="13" t="n"/>
    </row>
    <row r="603">
      <c r="I603" s="13" t="n"/>
      <c r="J603" s="13" t="n"/>
      <c r="K603" s="13" t="n"/>
    </row>
    <row r="604">
      <c r="I604" s="13" t="n"/>
      <c r="J604" s="13" t="n"/>
      <c r="K604" s="13" t="n"/>
    </row>
    <row r="605">
      <c r="I605" s="13" t="n"/>
      <c r="J605" s="13" t="n"/>
      <c r="K605" s="13" t="n"/>
    </row>
    <row r="606">
      <c r="I606" s="13" t="n"/>
      <c r="J606" s="13" t="n"/>
      <c r="K606" s="13" t="n"/>
    </row>
    <row r="607">
      <c r="I607" s="13" t="n"/>
      <c r="J607" s="13" t="n"/>
      <c r="K607" s="13" t="n"/>
    </row>
    <row r="608">
      <c r="I608" s="13" t="n"/>
      <c r="J608" s="13" t="n"/>
      <c r="K608" s="13" t="n"/>
    </row>
    <row r="609">
      <c r="I609" s="13" t="n"/>
      <c r="J609" s="13" t="n"/>
      <c r="K609" s="13" t="n"/>
    </row>
    <row r="610">
      <c r="I610" s="13" t="n"/>
      <c r="J610" s="13" t="n"/>
      <c r="K610" s="13" t="n"/>
    </row>
    <row r="611">
      <c r="I611" s="13" t="n"/>
      <c r="J611" s="13" t="n"/>
      <c r="K611" s="13" t="n"/>
    </row>
    <row r="612">
      <c r="I612" s="13" t="n"/>
      <c r="J612" s="13" t="n"/>
      <c r="K612" s="13" t="n"/>
    </row>
    <row r="613">
      <c r="I613" s="13" t="n"/>
      <c r="J613" s="13" t="n"/>
      <c r="K613" s="13" t="n"/>
    </row>
    <row r="614">
      <c r="I614" s="13" t="n"/>
      <c r="J614" s="13" t="n"/>
      <c r="K614" s="13" t="n"/>
    </row>
    <row r="615">
      <c r="I615" s="13" t="n"/>
      <c r="J615" s="13" t="n"/>
      <c r="K615" s="13" t="n"/>
    </row>
    <row r="616">
      <c r="I616" s="13" t="n"/>
      <c r="J616" s="13" t="n"/>
      <c r="K616" s="13" t="n"/>
    </row>
    <row r="617">
      <c r="I617" s="13" t="n"/>
      <c r="J617" s="13" t="n"/>
      <c r="K617" s="13" t="n"/>
    </row>
    <row r="618">
      <c r="I618" s="13" t="n"/>
      <c r="J618" s="13" t="n"/>
      <c r="K618" s="13" t="n"/>
    </row>
    <row r="619">
      <c r="I619" s="13" t="n"/>
      <c r="J619" s="13" t="n"/>
      <c r="K619" s="13" t="n"/>
    </row>
    <row r="620">
      <c r="I620" s="13" t="n"/>
      <c r="J620" s="13" t="n"/>
      <c r="K620" s="13" t="n"/>
    </row>
    <row r="621">
      <c r="I621" s="13" t="n"/>
      <c r="J621" s="13" t="n"/>
      <c r="K621" s="13" t="n"/>
    </row>
    <row r="622">
      <c r="I622" s="13" t="n"/>
      <c r="J622" s="13" t="n"/>
      <c r="K622" s="13" t="n"/>
    </row>
    <row r="623">
      <c r="I623" s="13" t="n"/>
      <c r="J623" s="13" t="n"/>
      <c r="K623" s="13" t="n"/>
    </row>
    <row r="624">
      <c r="I624" s="13" t="n"/>
      <c r="J624" s="13" t="n"/>
      <c r="K624" s="13" t="n"/>
    </row>
    <row r="625">
      <c r="I625" s="13" t="n"/>
      <c r="J625" s="13" t="n"/>
      <c r="K625" s="13" t="n"/>
    </row>
    <row r="626">
      <c r="I626" s="13" t="n"/>
      <c r="J626" s="13" t="n"/>
      <c r="K626" s="13" t="n"/>
    </row>
    <row r="627">
      <c r="I627" s="13" t="n"/>
      <c r="J627" s="13" t="n"/>
      <c r="K627" s="13" t="n"/>
    </row>
    <row r="628">
      <c r="I628" s="13" t="n"/>
      <c r="J628" s="13" t="n"/>
      <c r="K628" s="13" t="n"/>
    </row>
    <row r="629">
      <c r="I629" s="13" t="n"/>
      <c r="J629" s="13" t="n"/>
      <c r="K629" s="13" t="n"/>
    </row>
    <row r="630">
      <c r="I630" s="13" t="n"/>
      <c r="J630" s="13" t="n"/>
      <c r="K630" s="13" t="n"/>
    </row>
    <row r="631">
      <c r="I631" s="13" t="n"/>
      <c r="J631" s="13" t="n"/>
      <c r="K631" s="13" t="n"/>
    </row>
    <row r="632">
      <c r="I632" s="13" t="n"/>
      <c r="J632" s="13" t="n"/>
      <c r="K632" s="13" t="n"/>
    </row>
    <row r="633">
      <c r="I633" s="13" t="n"/>
      <c r="J633" s="13" t="n"/>
      <c r="K633" s="13" t="n"/>
    </row>
    <row r="634">
      <c r="I634" s="13" t="n"/>
      <c r="J634" s="13" t="n"/>
      <c r="K634" s="13" t="n"/>
    </row>
    <row r="635">
      <c r="I635" s="13" t="n"/>
      <c r="J635" s="13" t="n"/>
      <c r="K635" s="13" t="n"/>
    </row>
    <row r="636">
      <c r="I636" s="13" t="n"/>
      <c r="J636" s="13" t="n"/>
      <c r="K636" s="13" t="n"/>
    </row>
    <row r="637">
      <c r="I637" s="13" t="n"/>
      <c r="J637" s="13" t="n"/>
      <c r="K637" s="13" t="n"/>
    </row>
    <row r="638">
      <c r="I638" s="13" t="n"/>
      <c r="J638" s="13" t="n"/>
      <c r="K638" s="13" t="n"/>
    </row>
    <row r="639">
      <c r="I639" s="13" t="n"/>
      <c r="J639" s="13" t="n"/>
      <c r="K639" s="13" t="n"/>
    </row>
    <row r="640">
      <c r="I640" s="13" t="n"/>
      <c r="J640" s="13" t="n"/>
      <c r="K640" s="13" t="n"/>
    </row>
    <row r="641">
      <c r="I641" s="13" t="n"/>
      <c r="J641" s="13" t="n"/>
      <c r="K641" s="13" t="n"/>
    </row>
    <row r="642">
      <c r="I642" s="13" t="n"/>
      <c r="J642" s="13" t="n"/>
      <c r="K642" s="13" t="n"/>
    </row>
    <row r="643">
      <c r="I643" s="13" t="n"/>
      <c r="J643" s="13" t="n"/>
      <c r="K643" s="13" t="n"/>
    </row>
    <row r="644">
      <c r="I644" s="13" t="n"/>
      <c r="J644" s="13" t="n"/>
      <c r="K644" s="13" t="n"/>
    </row>
    <row r="645">
      <c r="I645" s="13" t="n"/>
      <c r="J645" s="13" t="n"/>
      <c r="K645" s="13" t="n"/>
    </row>
    <row r="646">
      <c r="I646" s="13" t="n"/>
      <c r="J646" s="13" t="n"/>
      <c r="K646" s="13" t="n"/>
    </row>
    <row r="647">
      <c r="I647" s="13" t="n"/>
      <c r="J647" s="13" t="n"/>
      <c r="K647" s="13" t="n"/>
    </row>
    <row r="648">
      <c r="I648" s="13" t="n"/>
      <c r="J648" s="13" t="n"/>
      <c r="K648" s="13" t="n"/>
    </row>
    <row r="649">
      <c r="I649" s="13" t="n"/>
      <c r="J649" s="13" t="n"/>
      <c r="K649" s="13" t="n"/>
    </row>
    <row r="650">
      <c r="I650" s="13" t="n"/>
      <c r="J650" s="13" t="n"/>
      <c r="K650" s="13" t="n"/>
    </row>
    <row r="651">
      <c r="I651" s="13" t="n"/>
      <c r="J651" s="13" t="n"/>
      <c r="K651" s="13" t="n"/>
    </row>
    <row r="652">
      <c r="I652" s="13" t="n"/>
      <c r="J652" s="13" t="n"/>
      <c r="K652" s="13" t="n"/>
    </row>
    <row r="653">
      <c r="I653" s="13" t="n"/>
      <c r="J653" s="13" t="n"/>
      <c r="K653" s="13" t="n"/>
    </row>
    <row r="654">
      <c r="I654" s="13" t="n"/>
      <c r="J654" s="13" t="n"/>
      <c r="K654" s="13" t="n"/>
    </row>
    <row r="655">
      <c r="I655" s="13" t="n"/>
      <c r="J655" s="13" t="n"/>
      <c r="K655" s="13" t="n"/>
    </row>
    <row r="656">
      <c r="I656" s="13" t="n"/>
      <c r="J656" s="13" t="n"/>
      <c r="K656" s="13" t="n"/>
    </row>
    <row r="657">
      <c r="I657" s="13" t="n"/>
      <c r="J657" s="13" t="n"/>
      <c r="K657" s="13" t="n"/>
    </row>
    <row r="658">
      <c r="I658" s="13" t="n"/>
      <c r="J658" s="13" t="n"/>
      <c r="K658" s="13" t="n"/>
    </row>
    <row r="659">
      <c r="I659" s="13" t="n"/>
      <c r="J659" s="13" t="n"/>
      <c r="K659" s="13" t="n"/>
    </row>
    <row r="660">
      <c r="I660" s="13" t="n"/>
      <c r="J660" s="13" t="n"/>
      <c r="K660" s="13" t="n"/>
    </row>
    <row r="661">
      <c r="I661" s="13" t="n"/>
      <c r="J661" s="13" t="n"/>
      <c r="K661" s="13" t="n"/>
    </row>
    <row r="662">
      <c r="I662" s="13" t="n"/>
      <c r="J662" s="13" t="n"/>
      <c r="K662" s="13" t="n"/>
    </row>
    <row r="663">
      <c r="I663" s="13" t="n"/>
      <c r="J663" s="13" t="n"/>
      <c r="K663" s="13" t="n"/>
    </row>
    <row r="664">
      <c r="I664" s="13" t="n"/>
      <c r="J664" s="13" t="n"/>
      <c r="K664" s="13" t="n"/>
    </row>
    <row r="665">
      <c r="I665" s="13" t="n"/>
      <c r="J665" s="13" t="n"/>
      <c r="K665" s="13" t="n"/>
    </row>
    <row r="666">
      <c r="I666" s="13" t="n"/>
      <c r="J666" s="13" t="n"/>
      <c r="K666" s="13" t="n"/>
    </row>
    <row r="667">
      <c r="I667" s="13" t="n"/>
      <c r="J667" s="13" t="n"/>
      <c r="K667" s="13" t="n"/>
    </row>
    <row r="668">
      <c r="I668" s="13" t="n"/>
      <c r="J668" s="13" t="n"/>
      <c r="K668" s="13" t="n"/>
    </row>
    <row r="669">
      <c r="I669" s="13" t="n"/>
      <c r="J669" s="13" t="n"/>
      <c r="K669" s="13" t="n"/>
    </row>
    <row r="670">
      <c r="I670" s="13" t="n"/>
      <c r="J670" s="13" t="n"/>
      <c r="K670" s="13" t="n"/>
    </row>
    <row r="671">
      <c r="I671" s="13" t="n"/>
      <c r="J671" s="13" t="n"/>
      <c r="K671" s="13" t="n"/>
    </row>
    <row r="672">
      <c r="I672" s="13" t="n"/>
      <c r="J672" s="13" t="n"/>
      <c r="K672" s="13" t="n"/>
    </row>
    <row r="673">
      <c r="I673" s="13" t="n"/>
      <c r="J673" s="13" t="n"/>
      <c r="K673" s="13" t="n"/>
    </row>
    <row r="674">
      <c r="I674" s="13" t="n"/>
      <c r="J674" s="13" t="n"/>
      <c r="K674" s="13" t="n"/>
    </row>
    <row r="675">
      <c r="I675" s="13" t="n"/>
      <c r="J675" s="13" t="n"/>
      <c r="K675" s="13" t="n"/>
    </row>
    <row r="676">
      <c r="I676" s="13" t="n"/>
      <c r="J676" s="13" t="n"/>
      <c r="K676" s="13" t="n"/>
    </row>
    <row r="677">
      <c r="I677" s="13" t="n"/>
      <c r="J677" s="13" t="n"/>
      <c r="K677" s="13" t="n"/>
    </row>
    <row r="678">
      <c r="I678" s="13" t="n"/>
      <c r="J678" s="13" t="n"/>
      <c r="K678" s="13" t="n"/>
    </row>
    <row r="679">
      <c r="I679" s="13" t="n"/>
      <c r="J679" s="13" t="n"/>
      <c r="K679" s="13" t="n"/>
    </row>
    <row r="680">
      <c r="I680" s="13" t="n"/>
      <c r="J680" s="13" t="n"/>
      <c r="K680" s="13" t="n"/>
    </row>
    <row r="681">
      <c r="I681" s="13" t="n"/>
      <c r="J681" s="13" t="n"/>
      <c r="K681" s="13" t="n"/>
    </row>
    <row r="682">
      <c r="I682" s="13" t="n"/>
      <c r="J682" s="13" t="n"/>
      <c r="K682" s="13" t="n"/>
    </row>
    <row r="683">
      <c r="I683" s="13" t="n"/>
      <c r="J683" s="13" t="n"/>
      <c r="K683" s="13" t="n"/>
    </row>
    <row r="684">
      <c r="I684" s="13" t="n"/>
      <c r="J684" s="13" t="n"/>
      <c r="K684" s="13" t="n"/>
    </row>
    <row r="685">
      <c r="I685" s="13" t="n"/>
      <c r="J685" s="13" t="n"/>
      <c r="K685" s="13" t="n"/>
    </row>
    <row r="686">
      <c r="I686" s="13" t="n"/>
      <c r="J686" s="13" t="n"/>
      <c r="K686" s="13" t="n"/>
    </row>
    <row r="687">
      <c r="I687" s="13" t="n"/>
      <c r="J687" s="13" t="n"/>
      <c r="K687" s="13" t="n"/>
    </row>
    <row r="688">
      <c r="I688" s="13" t="n"/>
      <c r="J688" s="13" t="n"/>
      <c r="K688" s="13" t="n"/>
    </row>
    <row r="689">
      <c r="I689" s="13" t="n"/>
      <c r="J689" s="13" t="n"/>
      <c r="K689" s="13" t="n"/>
    </row>
    <row r="690">
      <c r="I690" s="13" t="n"/>
      <c r="J690" s="13" t="n"/>
      <c r="K690" s="13" t="n"/>
    </row>
    <row r="691">
      <c r="I691" s="13" t="n"/>
      <c r="J691" s="13" t="n"/>
      <c r="K691" s="13" t="n"/>
    </row>
    <row r="692">
      <c r="I692" s="13" t="n"/>
      <c r="J692" s="13" t="n"/>
      <c r="K692" s="13" t="n"/>
    </row>
    <row r="693">
      <c r="I693" s="13" t="n"/>
      <c r="J693" s="13" t="n"/>
      <c r="K693" s="13" t="n"/>
    </row>
    <row r="694">
      <c r="I694" s="13" t="n"/>
      <c r="J694" s="13" t="n"/>
      <c r="K694" s="13" t="n"/>
    </row>
    <row r="695">
      <c r="I695" s="13" t="n"/>
      <c r="J695" s="13" t="n"/>
      <c r="K695" s="13" t="n"/>
    </row>
    <row r="696">
      <c r="I696" s="13" t="n"/>
      <c r="J696" s="13" t="n"/>
      <c r="K696" s="13" t="n"/>
    </row>
    <row r="697">
      <c r="I697" s="13" t="n"/>
      <c r="J697" s="13" t="n"/>
      <c r="K697" s="13" t="n"/>
    </row>
    <row r="698">
      <c r="I698" s="13" t="n"/>
      <c r="J698" s="13" t="n"/>
      <c r="K698" s="13" t="n"/>
    </row>
    <row r="699">
      <c r="I699" s="13" t="n"/>
      <c r="J699" s="13" t="n"/>
      <c r="K699" s="13" t="n"/>
    </row>
    <row r="700">
      <c r="I700" s="13" t="n"/>
      <c r="J700" s="13" t="n"/>
      <c r="K700" s="13" t="n"/>
    </row>
    <row r="701">
      <c r="I701" s="13" t="n"/>
      <c r="J701" s="13" t="n"/>
      <c r="K701" s="13" t="n"/>
    </row>
    <row r="702">
      <c r="I702" s="13" t="n"/>
      <c r="J702" s="13" t="n"/>
      <c r="K702" s="13" t="n"/>
    </row>
    <row r="703">
      <c r="I703" s="13" t="n"/>
      <c r="J703" s="13" t="n"/>
      <c r="K703" s="13" t="n"/>
    </row>
    <row r="704">
      <c r="I704" s="13" t="n"/>
      <c r="J704" s="13" t="n"/>
      <c r="K704" s="13" t="n"/>
    </row>
    <row r="705">
      <c r="I705" s="13" t="n"/>
      <c r="J705" s="13" t="n"/>
      <c r="K705" s="13" t="n"/>
    </row>
    <row r="706">
      <c r="I706" s="13" t="n"/>
      <c r="J706" s="13" t="n"/>
      <c r="K706" s="13" t="n"/>
    </row>
    <row r="707">
      <c r="I707" s="13" t="n"/>
      <c r="J707" s="13" t="n"/>
      <c r="K707" s="13" t="n"/>
    </row>
    <row r="708">
      <c r="I708" s="13" t="n"/>
      <c r="J708" s="13" t="n"/>
      <c r="K708" s="13" t="n"/>
    </row>
    <row r="709">
      <c r="I709" s="13" t="n"/>
      <c r="J709" s="13" t="n"/>
      <c r="K709" s="13" t="n"/>
    </row>
    <row r="710">
      <c r="I710" s="13" t="n"/>
      <c r="J710" s="13" t="n"/>
      <c r="K710" s="13" t="n"/>
    </row>
    <row r="711">
      <c r="I711" s="13" t="n"/>
      <c r="J711" s="13" t="n"/>
      <c r="K711" s="13" t="n"/>
    </row>
    <row r="712">
      <c r="I712" s="13" t="n"/>
      <c r="J712" s="13" t="n"/>
      <c r="K712" s="13" t="n"/>
    </row>
    <row r="713">
      <c r="I713" s="13" t="n"/>
      <c r="J713" s="13" t="n"/>
      <c r="K713" s="13" t="n"/>
    </row>
    <row r="714">
      <c r="I714" s="13" t="n"/>
      <c r="J714" s="13" t="n"/>
      <c r="K714" s="13" t="n"/>
    </row>
    <row r="715">
      <c r="I715" s="13" t="n"/>
      <c r="J715" s="13" t="n"/>
      <c r="K715" s="13" t="n"/>
    </row>
    <row r="716">
      <c r="I716" s="13" t="n"/>
      <c r="J716" s="13" t="n"/>
      <c r="K716" s="13" t="n"/>
    </row>
    <row r="717">
      <c r="I717" s="13" t="n"/>
      <c r="J717" s="13" t="n"/>
      <c r="K717" s="13" t="n"/>
    </row>
    <row r="718">
      <c r="I718" s="13" t="n"/>
      <c r="J718" s="13" t="n"/>
      <c r="K718" s="13" t="n"/>
    </row>
    <row r="719">
      <c r="I719" s="13" t="n"/>
      <c r="J719" s="13" t="n"/>
      <c r="K719" s="13" t="n"/>
    </row>
    <row r="720">
      <c r="I720" s="13" t="n"/>
      <c r="J720" s="13" t="n"/>
      <c r="K720" s="13" t="n"/>
    </row>
    <row r="721">
      <c r="I721" s="13" t="n"/>
      <c r="J721" s="13" t="n"/>
      <c r="K721" s="13" t="n"/>
    </row>
    <row r="722">
      <c r="I722" s="13" t="n"/>
      <c r="J722" s="13" t="n"/>
      <c r="K722" s="13" t="n"/>
    </row>
    <row r="723">
      <c r="I723" s="13" t="n"/>
      <c r="J723" s="13" t="n"/>
      <c r="K723" s="13" t="n"/>
    </row>
    <row r="724">
      <c r="I724" s="13" t="n"/>
      <c r="J724" s="13" t="n"/>
      <c r="K724" s="13" t="n"/>
    </row>
    <row r="725">
      <c r="I725" s="13" t="n"/>
      <c r="J725" s="13" t="n"/>
      <c r="K725" s="13" t="n"/>
    </row>
    <row r="726">
      <c r="I726" s="13" t="n"/>
      <c r="J726" s="13" t="n"/>
      <c r="K726" s="13" t="n"/>
    </row>
    <row r="727">
      <c r="I727" s="13" t="n"/>
      <c r="J727" s="13" t="n"/>
      <c r="K727" s="13" t="n"/>
    </row>
    <row r="728">
      <c r="I728" s="13" t="n"/>
      <c r="J728" s="13" t="n"/>
      <c r="K728" s="13" t="n"/>
    </row>
    <row r="729">
      <c r="I729" s="13" t="n"/>
      <c r="J729" s="13" t="n"/>
      <c r="K729" s="13" t="n"/>
    </row>
    <row r="730">
      <c r="I730" s="13" t="n"/>
      <c r="J730" s="13" t="n"/>
      <c r="K730" s="13" t="n"/>
    </row>
    <row r="731">
      <c r="I731" s="13" t="n"/>
      <c r="J731" s="13" t="n"/>
      <c r="K731" s="13" t="n"/>
    </row>
    <row r="732">
      <c r="I732" s="13" t="n"/>
      <c r="J732" s="13" t="n"/>
      <c r="K732" s="13" t="n"/>
    </row>
    <row r="733">
      <c r="I733" s="13" t="n"/>
      <c r="J733" s="13" t="n"/>
      <c r="K733" s="13" t="n"/>
    </row>
    <row r="734">
      <c r="I734" s="13" t="n"/>
      <c r="J734" s="13" t="n"/>
      <c r="K734" s="13" t="n"/>
    </row>
    <row r="735">
      <c r="I735" s="13" t="n"/>
      <c r="J735" s="13" t="n"/>
      <c r="K735" s="13" t="n"/>
    </row>
    <row r="736">
      <c r="I736" s="13" t="n"/>
      <c r="J736" s="13" t="n"/>
      <c r="K736" s="13" t="n"/>
    </row>
    <row r="737">
      <c r="I737" s="13" t="n"/>
      <c r="J737" s="13" t="n"/>
      <c r="K737" s="13" t="n"/>
    </row>
    <row r="738">
      <c r="I738" s="13" t="n"/>
      <c r="J738" s="13" t="n"/>
      <c r="K738" s="13" t="n"/>
    </row>
    <row r="739">
      <c r="I739" s="13" t="n"/>
      <c r="J739" s="13" t="n"/>
      <c r="K739" s="13" t="n"/>
    </row>
    <row r="740">
      <c r="I740" s="13" t="n"/>
      <c r="J740" s="13" t="n"/>
      <c r="K740" s="13" t="n"/>
    </row>
    <row r="741">
      <c r="I741" s="13" t="n"/>
      <c r="J741" s="13" t="n"/>
      <c r="K741" s="13" t="n"/>
    </row>
    <row r="742">
      <c r="I742" s="13" t="n"/>
      <c r="J742" s="13" t="n"/>
      <c r="K742" s="13" t="n"/>
    </row>
    <row r="743">
      <c r="I743" s="13" t="n"/>
      <c r="J743" s="13" t="n"/>
      <c r="K743" s="13" t="n"/>
    </row>
    <row r="744">
      <c r="I744" s="13" t="n"/>
      <c r="J744" s="13" t="n"/>
      <c r="K744" s="13" t="n"/>
    </row>
    <row r="745">
      <c r="I745" s="13" t="n"/>
      <c r="J745" s="13" t="n"/>
      <c r="K745" s="13" t="n"/>
    </row>
    <row r="746">
      <c r="I746" s="13" t="n"/>
      <c r="J746" s="13" t="n"/>
      <c r="K746" s="13" t="n"/>
    </row>
    <row r="747">
      <c r="I747" s="13" t="n"/>
      <c r="J747" s="13" t="n"/>
      <c r="K747" s="13" t="n"/>
    </row>
    <row r="748">
      <c r="I748" s="13" t="n"/>
      <c r="J748" s="13" t="n"/>
      <c r="K748" s="13" t="n"/>
    </row>
    <row r="749">
      <c r="I749" s="13" t="n"/>
      <c r="J749" s="13" t="n"/>
      <c r="K749" s="13" t="n"/>
    </row>
    <row r="750">
      <c r="I750" s="13" t="n"/>
      <c r="J750" s="13" t="n"/>
      <c r="K750" s="13" t="n"/>
    </row>
    <row r="751">
      <c r="I751" s="13" t="n"/>
      <c r="J751" s="13" t="n"/>
      <c r="K751" s="13" t="n"/>
    </row>
    <row r="752">
      <c r="I752" s="13" t="n"/>
      <c r="J752" s="13" t="n"/>
      <c r="K752" s="13" t="n"/>
    </row>
    <row r="753">
      <c r="I753" s="13" t="n"/>
      <c r="J753" s="13" t="n"/>
      <c r="K753" s="13" t="n"/>
    </row>
    <row r="754">
      <c r="I754" s="13" t="n"/>
      <c r="J754" s="13" t="n"/>
      <c r="K754" s="13" t="n"/>
    </row>
    <row r="755">
      <c r="I755" s="13" t="n"/>
      <c r="J755" s="13" t="n"/>
      <c r="K755" s="13" t="n"/>
    </row>
    <row r="756">
      <c r="I756" s="13" t="n"/>
      <c r="J756" s="13" t="n"/>
      <c r="K756" s="13" t="n"/>
    </row>
    <row r="757">
      <c r="I757" s="13" t="n"/>
      <c r="J757" s="13" t="n"/>
      <c r="K757" s="13" t="n"/>
    </row>
    <row r="758">
      <c r="I758" s="13" t="n"/>
      <c r="J758" s="13" t="n"/>
      <c r="K758" s="13" t="n"/>
    </row>
    <row r="759">
      <c r="I759" s="13" t="n"/>
      <c r="J759" s="13" t="n"/>
      <c r="K759" s="13" t="n"/>
    </row>
    <row r="760">
      <c r="I760" s="13" t="n"/>
      <c r="J760" s="13" t="n"/>
      <c r="K760" s="13" t="n"/>
    </row>
    <row r="761">
      <c r="I761" s="13" t="n"/>
      <c r="J761" s="13" t="n"/>
      <c r="K761" s="13" t="n"/>
    </row>
    <row r="762">
      <c r="I762" s="13" t="n"/>
      <c r="J762" s="13" t="n"/>
      <c r="K762" s="13" t="n"/>
    </row>
    <row r="763">
      <c r="I763" s="13" t="n"/>
      <c r="J763" s="13" t="n"/>
      <c r="K763" s="13" t="n"/>
    </row>
    <row r="764">
      <c r="I764" s="13" t="n"/>
      <c r="J764" s="13" t="n"/>
      <c r="K764" s="13" t="n"/>
    </row>
    <row r="765">
      <c r="I765" s="13" t="n"/>
      <c r="J765" s="13" t="n"/>
      <c r="K765" s="13" t="n"/>
    </row>
    <row r="766">
      <c r="I766" s="13" t="n"/>
      <c r="J766" s="13" t="n"/>
      <c r="K766" s="13" t="n"/>
    </row>
    <row r="767">
      <c r="I767" s="13" t="n"/>
      <c r="J767" s="13" t="n"/>
      <c r="K767" s="13" t="n"/>
    </row>
    <row r="768">
      <c r="I768" s="13" t="n"/>
      <c r="J768" s="13" t="n"/>
      <c r="K768" s="13" t="n"/>
    </row>
    <row r="769">
      <c r="I769" s="13" t="n"/>
      <c r="J769" s="13" t="n"/>
      <c r="K769" s="13" t="n"/>
    </row>
    <row r="770">
      <c r="I770" s="13" t="n"/>
      <c r="J770" s="13" t="n"/>
      <c r="K770" s="13" t="n"/>
    </row>
    <row r="771">
      <c r="I771" s="13" t="n"/>
      <c r="J771" s="13" t="n"/>
      <c r="K771" s="13" t="n"/>
    </row>
    <row r="772">
      <c r="I772" s="13" t="n"/>
      <c r="J772" s="13" t="n"/>
      <c r="K772" s="13" t="n"/>
    </row>
    <row r="773">
      <c r="I773" s="13" t="n"/>
      <c r="J773" s="13" t="n"/>
      <c r="K773" s="13" t="n"/>
    </row>
    <row r="774">
      <c r="I774" s="13" t="n"/>
      <c r="J774" s="13" t="n"/>
      <c r="K774" s="13" t="n"/>
    </row>
    <row r="775">
      <c r="I775" s="13" t="n"/>
      <c r="J775" s="13" t="n"/>
      <c r="K775" s="13" t="n"/>
    </row>
    <row r="776">
      <c r="I776" s="13" t="n"/>
      <c r="J776" s="13" t="n"/>
      <c r="K776" s="13" t="n"/>
    </row>
    <row r="777">
      <c r="I777" s="13" t="n"/>
      <c r="J777" s="13" t="n"/>
      <c r="K777" s="13" t="n"/>
    </row>
    <row r="778">
      <c r="I778" s="13" t="n"/>
      <c r="J778" s="13" t="n"/>
      <c r="K778" s="13" t="n"/>
    </row>
    <row r="779">
      <c r="I779" s="13" t="n"/>
      <c r="J779" s="13" t="n"/>
      <c r="K779" s="13" t="n"/>
    </row>
    <row r="780">
      <c r="I780" s="13" t="n"/>
      <c r="J780" s="13" t="n"/>
      <c r="K780" s="13" t="n"/>
    </row>
    <row r="781">
      <c r="I781" s="13" t="n"/>
      <c r="J781" s="13" t="n"/>
      <c r="K781" s="13" t="n"/>
    </row>
    <row r="782">
      <c r="I782" s="13" t="n"/>
      <c r="J782" s="13" t="n"/>
      <c r="K782" s="13" t="n"/>
    </row>
    <row r="783">
      <c r="I783" s="13" t="n"/>
      <c r="J783" s="13" t="n"/>
      <c r="K783" s="13" t="n"/>
    </row>
    <row r="784">
      <c r="I784" s="13" t="n"/>
      <c r="J784" s="13" t="n"/>
      <c r="K784" s="13" t="n"/>
    </row>
    <row r="785">
      <c r="I785" s="13" t="n"/>
      <c r="J785" s="13" t="n"/>
      <c r="K785" s="13" t="n"/>
    </row>
    <row r="786">
      <c r="I786" s="13" t="n"/>
      <c r="J786" s="13" t="n"/>
      <c r="K786" s="13" t="n"/>
    </row>
    <row r="787">
      <c r="I787" s="13" t="n"/>
      <c r="J787" s="13" t="n"/>
      <c r="K787" s="13" t="n"/>
    </row>
    <row r="788">
      <c r="I788" s="13" t="n"/>
      <c r="J788" s="13" t="n"/>
      <c r="K788" s="13" t="n"/>
    </row>
    <row r="789">
      <c r="I789" s="13" t="n"/>
      <c r="J789" s="13" t="n"/>
      <c r="K789" s="13" t="n"/>
    </row>
    <row r="790">
      <c r="I790" s="13" t="n"/>
      <c r="J790" s="13" t="n"/>
      <c r="K790" s="13" t="n"/>
    </row>
    <row r="791">
      <c r="I791" s="13" t="n"/>
      <c r="J791" s="13" t="n"/>
      <c r="K791" s="13" t="n"/>
    </row>
    <row r="792">
      <c r="I792" s="13" t="n"/>
      <c r="J792" s="13" t="n"/>
      <c r="K792" s="13" t="n"/>
    </row>
    <row r="793">
      <c r="I793" s="13" t="n"/>
      <c r="J793" s="13" t="n"/>
      <c r="K793" s="13" t="n"/>
    </row>
    <row r="794">
      <c r="I794" s="13" t="n"/>
      <c r="J794" s="13" t="n"/>
      <c r="K794" s="13" t="n"/>
    </row>
    <row r="795">
      <c r="I795" s="13" t="n"/>
      <c r="J795" s="13" t="n"/>
      <c r="K795" s="13" t="n"/>
    </row>
    <row r="796">
      <c r="I796" s="13" t="n"/>
      <c r="J796" s="13" t="n"/>
      <c r="K796" s="13" t="n"/>
    </row>
    <row r="797">
      <c r="I797" s="13" t="n"/>
      <c r="J797" s="13" t="n"/>
      <c r="K797" s="13" t="n"/>
    </row>
    <row r="798">
      <c r="I798" s="13" t="n"/>
      <c r="J798" s="13" t="n"/>
      <c r="K798" s="13" t="n"/>
    </row>
    <row r="799">
      <c r="I799" s="13" t="n"/>
      <c r="J799" s="13" t="n"/>
      <c r="K799" s="13" t="n"/>
    </row>
    <row r="800">
      <c r="I800" s="13" t="n"/>
      <c r="J800" s="13" t="n"/>
      <c r="K800" s="13" t="n"/>
    </row>
    <row r="801">
      <c r="I801" s="13" t="n"/>
      <c r="J801" s="13" t="n"/>
      <c r="K801" s="13" t="n"/>
    </row>
    <row r="802">
      <c r="I802" s="13" t="n"/>
      <c r="J802" s="13" t="n"/>
      <c r="K802" s="13" t="n"/>
    </row>
    <row r="803">
      <c r="I803" s="13" t="n"/>
      <c r="J803" s="13" t="n"/>
      <c r="K803" s="13" t="n"/>
    </row>
    <row r="804">
      <c r="I804" s="13" t="n"/>
      <c r="J804" s="13" t="n"/>
      <c r="K804" s="13" t="n"/>
    </row>
    <row r="805">
      <c r="I805" s="13" t="n"/>
      <c r="J805" s="13" t="n"/>
      <c r="K805" s="13" t="n"/>
    </row>
    <row r="806">
      <c r="I806" s="13" t="n"/>
      <c r="J806" s="13" t="n"/>
      <c r="K806" s="13" t="n"/>
    </row>
    <row r="807">
      <c r="I807" s="13" t="n"/>
      <c r="J807" s="13" t="n"/>
      <c r="K807" s="13" t="n"/>
    </row>
    <row r="808">
      <c r="I808" s="13" t="n"/>
      <c r="J808" s="13" t="n"/>
      <c r="K808" s="13" t="n"/>
    </row>
    <row r="809">
      <c r="I809" s="13" t="n"/>
      <c r="J809" s="13" t="n"/>
      <c r="K809" s="13" t="n"/>
    </row>
    <row r="810">
      <c r="I810" s="13" t="n"/>
      <c r="J810" s="13" t="n"/>
      <c r="K810" s="13" t="n"/>
    </row>
    <row r="811">
      <c r="I811" s="13" t="n"/>
      <c r="J811" s="13" t="n"/>
      <c r="K811" s="13" t="n"/>
    </row>
    <row r="812">
      <c r="I812" s="13" t="n"/>
      <c r="J812" s="13" t="n"/>
      <c r="K812" s="13" t="n"/>
    </row>
    <row r="813">
      <c r="I813" s="13" t="n"/>
      <c r="J813" s="13" t="n"/>
      <c r="K813" s="13" t="n"/>
    </row>
    <row r="814">
      <c r="I814" s="13" t="n"/>
      <c r="J814" s="13" t="n"/>
      <c r="K814" s="13" t="n"/>
    </row>
    <row r="815">
      <c r="I815" s="13" t="n"/>
      <c r="J815" s="13" t="n"/>
      <c r="K815" s="13" t="n"/>
    </row>
    <row r="816">
      <c r="I816" s="13" t="n"/>
      <c r="J816" s="13" t="n"/>
      <c r="K816" s="13" t="n"/>
    </row>
    <row r="817">
      <c r="I817" s="13" t="n"/>
      <c r="J817" s="13" t="n"/>
      <c r="K817" s="13" t="n"/>
    </row>
    <row r="818">
      <c r="I818" s="13" t="n"/>
      <c r="J818" s="13" t="n"/>
      <c r="K818" s="13" t="n"/>
    </row>
    <row r="819">
      <c r="I819" s="13" t="n"/>
      <c r="J819" s="13" t="n"/>
      <c r="K819" s="13" t="n"/>
    </row>
    <row r="820">
      <c r="I820" s="13" t="n"/>
      <c r="J820" s="13" t="n"/>
      <c r="K820" s="13" t="n"/>
    </row>
    <row r="821">
      <c r="I821" s="13" t="n"/>
      <c r="J821" s="13" t="n"/>
      <c r="K821" s="13" t="n"/>
    </row>
    <row r="822">
      <c r="I822" s="13" t="n"/>
      <c r="J822" s="13" t="n"/>
      <c r="K822" s="13" t="n"/>
    </row>
    <row r="823">
      <c r="I823" s="13" t="n"/>
      <c r="J823" s="13" t="n"/>
      <c r="K823" s="13" t="n"/>
    </row>
    <row r="824">
      <c r="I824" s="13" t="n"/>
      <c r="J824" s="13" t="n"/>
      <c r="K824" s="13" t="n"/>
    </row>
    <row r="825">
      <c r="I825" s="13" t="n"/>
      <c r="J825" s="13" t="n"/>
      <c r="K825" s="13" t="n"/>
    </row>
    <row r="826">
      <c r="I826" s="13" t="n"/>
      <c r="J826" s="13" t="n"/>
      <c r="K826" s="13" t="n"/>
    </row>
    <row r="827">
      <c r="I827" s="13" t="n"/>
      <c r="J827" s="13" t="n"/>
      <c r="K827" s="13" t="n"/>
    </row>
    <row r="828">
      <c r="I828" s="13" t="n"/>
      <c r="J828" s="13" t="n"/>
      <c r="K828" s="13" t="n"/>
    </row>
    <row r="829">
      <c r="I829" s="13" t="n"/>
      <c r="J829" s="13" t="n"/>
      <c r="K829" s="13" t="n"/>
    </row>
    <row r="830">
      <c r="I830" s="13" t="n"/>
      <c r="J830" s="13" t="n"/>
      <c r="K830" s="13" t="n"/>
    </row>
    <row r="831">
      <c r="I831" s="13" t="n"/>
      <c r="J831" s="13" t="n"/>
      <c r="K831" s="13" t="n"/>
    </row>
    <row r="832">
      <c r="I832" s="13" t="n"/>
      <c r="J832" s="13" t="n"/>
      <c r="K832" s="13" t="n"/>
    </row>
    <row r="833">
      <c r="I833" s="13" t="n"/>
      <c r="J833" s="13" t="n"/>
      <c r="K833" s="13" t="n"/>
    </row>
    <row r="834">
      <c r="I834" s="13" t="n"/>
      <c r="J834" s="13" t="n"/>
      <c r="K834" s="13" t="n"/>
    </row>
    <row r="835">
      <c r="I835" s="13" t="n"/>
      <c r="J835" s="13" t="n"/>
      <c r="K835" s="13" t="n"/>
    </row>
    <row r="836">
      <c r="I836" s="13" t="n"/>
      <c r="J836" s="13" t="n"/>
      <c r="K836" s="13" t="n"/>
    </row>
    <row r="837">
      <c r="I837" s="13" t="n"/>
      <c r="J837" s="13" t="n"/>
      <c r="K837" s="13" t="n"/>
    </row>
    <row r="838">
      <c r="I838" s="13" t="n"/>
      <c r="J838" s="13" t="n"/>
      <c r="K838" s="13" t="n"/>
    </row>
    <row r="839">
      <c r="I839" s="13" t="n"/>
      <c r="J839" s="13" t="n"/>
      <c r="K839" s="13" t="n"/>
    </row>
    <row r="840">
      <c r="I840" s="13" t="n"/>
      <c r="J840" s="13" t="n"/>
      <c r="K840" s="13" t="n"/>
    </row>
    <row r="841">
      <c r="I841" s="13" t="n"/>
      <c r="J841" s="13" t="n"/>
      <c r="K841" s="13" t="n"/>
    </row>
    <row r="842">
      <c r="I842" s="13" t="n"/>
      <c r="J842" s="13" t="n"/>
      <c r="K842" s="13" t="n"/>
    </row>
    <row r="843">
      <c r="I843" s="13" t="n"/>
      <c r="J843" s="13" t="n"/>
      <c r="K843" s="13" t="n"/>
    </row>
    <row r="844">
      <c r="I844" s="13" t="n"/>
      <c r="J844" s="13" t="n"/>
      <c r="K844" s="13" t="n"/>
    </row>
    <row r="845">
      <c r="I845" s="13" t="n"/>
      <c r="J845" s="13" t="n"/>
      <c r="K845" s="13" t="n"/>
    </row>
    <row r="846">
      <c r="I846" s="13" t="n"/>
      <c r="J846" s="13" t="n"/>
      <c r="K846" s="13" t="n"/>
    </row>
    <row r="847">
      <c r="I847" s="13" t="n"/>
      <c r="J847" s="13" t="n"/>
      <c r="K847" s="13" t="n"/>
    </row>
    <row r="848">
      <c r="I848" s="13" t="n"/>
      <c r="J848" s="13" t="n"/>
      <c r="K848" s="13" t="n"/>
    </row>
    <row r="849">
      <c r="I849" s="13" t="n"/>
      <c r="J849" s="13" t="n"/>
      <c r="K849" s="13" t="n"/>
    </row>
    <row r="850">
      <c r="I850" s="13" t="n"/>
      <c r="J850" s="13" t="n"/>
      <c r="K850" s="13" t="n"/>
    </row>
    <row r="851">
      <c r="I851" s="13" t="n"/>
      <c r="J851" s="13" t="n"/>
      <c r="K851" s="13" t="n"/>
    </row>
    <row r="852">
      <c r="I852" s="13" t="n"/>
      <c r="J852" s="13" t="n"/>
      <c r="K852" s="13" t="n"/>
    </row>
    <row r="853">
      <c r="I853" s="13" t="n"/>
      <c r="J853" s="13" t="n"/>
      <c r="K853" s="13" t="n"/>
    </row>
    <row r="854">
      <c r="I854" s="13" t="n"/>
      <c r="J854" s="13" t="n"/>
      <c r="K854" s="13" t="n"/>
    </row>
    <row r="855">
      <c r="I855" s="13" t="n"/>
      <c r="J855" s="13" t="n"/>
      <c r="K855" s="13" t="n"/>
    </row>
    <row r="856">
      <c r="I856" s="13" t="n"/>
      <c r="J856" s="13" t="n"/>
      <c r="K856" s="13" t="n"/>
    </row>
    <row r="857">
      <c r="I857" s="13" t="n"/>
      <c r="J857" s="13" t="n"/>
      <c r="K857" s="13" t="n"/>
    </row>
    <row r="858">
      <c r="I858" s="13" t="n"/>
      <c r="J858" s="13" t="n"/>
      <c r="K858" s="13" t="n"/>
    </row>
    <row r="859">
      <c r="I859" s="13" t="n"/>
      <c r="J859" s="13" t="n"/>
      <c r="K859" s="13" t="n"/>
    </row>
    <row r="860">
      <c r="I860" s="13" t="n"/>
      <c r="J860" s="13" t="n"/>
      <c r="K860" s="13" t="n"/>
    </row>
    <row r="861">
      <c r="I861" s="13" t="n"/>
      <c r="J861" s="13" t="n"/>
      <c r="K861" s="13" t="n"/>
    </row>
    <row r="862">
      <c r="I862" s="13" t="n"/>
      <c r="J862" s="13" t="n"/>
      <c r="K862" s="13" t="n"/>
    </row>
    <row r="863">
      <c r="I863" s="13" t="n"/>
      <c r="J863" s="13" t="n"/>
      <c r="K863" s="13" t="n"/>
    </row>
    <row r="864">
      <c r="I864" s="13" t="n"/>
      <c r="J864" s="13" t="n"/>
      <c r="K864" s="13" t="n"/>
    </row>
    <row r="865">
      <c r="I865" s="13" t="n"/>
      <c r="J865" s="13" t="n"/>
      <c r="K865" s="13" t="n"/>
    </row>
    <row r="866">
      <c r="I866" s="13" t="n"/>
      <c r="J866" s="13" t="n"/>
      <c r="K866" s="13" t="n"/>
    </row>
    <row r="867">
      <c r="I867" s="13" t="n"/>
      <c r="J867" s="13" t="n"/>
      <c r="K867" s="13" t="n"/>
    </row>
    <row r="868">
      <c r="I868" s="13" t="n"/>
      <c r="J868" s="13" t="n"/>
      <c r="K868" s="13" t="n"/>
    </row>
    <row r="869">
      <c r="I869" s="13" t="n"/>
      <c r="J869" s="13" t="n"/>
      <c r="K869" s="13" t="n"/>
    </row>
    <row r="870">
      <c r="I870" s="13" t="n"/>
      <c r="J870" s="13" t="n"/>
      <c r="K870" s="13" t="n"/>
    </row>
    <row r="871">
      <c r="I871" s="13" t="n"/>
      <c r="J871" s="13" t="n"/>
      <c r="K871" s="13" t="n"/>
    </row>
    <row r="872">
      <c r="I872" s="13" t="n"/>
      <c r="J872" s="13" t="n"/>
      <c r="K872" s="13" t="n"/>
    </row>
    <row r="873">
      <c r="I873" s="13" t="n"/>
      <c r="J873" s="13" t="n"/>
      <c r="K873" s="13" t="n"/>
    </row>
    <row r="874">
      <c r="I874" s="13" t="n"/>
      <c r="J874" s="13" t="n"/>
      <c r="K874" s="13" t="n"/>
    </row>
    <row r="875">
      <c r="I875" s="13" t="n"/>
      <c r="J875" s="13" t="n"/>
      <c r="K875" s="13" t="n"/>
    </row>
    <row r="876">
      <c r="I876" s="13" t="n"/>
      <c r="J876" s="13" t="n"/>
      <c r="K876" s="13" t="n"/>
    </row>
    <row r="877">
      <c r="I877" s="13" t="n"/>
      <c r="J877" s="13" t="n"/>
      <c r="K877" s="13" t="n"/>
    </row>
    <row r="878">
      <c r="I878" s="13" t="n"/>
      <c r="J878" s="13" t="n"/>
      <c r="K878" s="13" t="n"/>
    </row>
    <row r="879">
      <c r="I879" s="13" t="n"/>
      <c r="J879" s="13" t="n"/>
      <c r="K879" s="13" t="n"/>
    </row>
    <row r="880">
      <c r="I880" s="13" t="n"/>
      <c r="J880" s="13" t="n"/>
      <c r="K880" s="13" t="n"/>
    </row>
    <row r="881">
      <c r="I881" s="13" t="n"/>
      <c r="J881" s="13" t="n"/>
      <c r="K881" s="13" t="n"/>
    </row>
    <row r="882">
      <c r="I882" s="13" t="n"/>
      <c r="J882" s="13" t="n"/>
      <c r="K882" s="13" t="n"/>
    </row>
    <row r="883">
      <c r="I883" s="13" t="n"/>
      <c r="J883" s="13" t="n"/>
      <c r="K883" s="13" t="n"/>
    </row>
    <row r="884">
      <c r="I884" s="13" t="n"/>
      <c r="J884" s="13" t="n"/>
      <c r="K884" s="13" t="n"/>
    </row>
    <row r="885">
      <c r="I885" s="13" t="n"/>
      <c r="J885" s="13" t="n"/>
      <c r="K885" s="13" t="n"/>
    </row>
    <row r="886">
      <c r="I886" s="13" t="n"/>
      <c r="J886" s="13" t="n"/>
      <c r="K886" s="13" t="n"/>
    </row>
    <row r="887">
      <c r="I887" s="13" t="n"/>
      <c r="J887" s="13" t="n"/>
      <c r="K887" s="13" t="n"/>
    </row>
    <row r="888">
      <c r="I888" s="13" t="n"/>
      <c r="J888" s="13" t="n"/>
      <c r="K888" s="13" t="n"/>
    </row>
    <row r="889">
      <c r="I889" s="13" t="n"/>
      <c r="J889" s="13" t="n"/>
      <c r="K889" s="13" t="n"/>
    </row>
    <row r="890">
      <c r="I890" s="13" t="n"/>
      <c r="J890" s="13" t="n"/>
      <c r="K890" s="13" t="n"/>
    </row>
    <row r="891">
      <c r="I891" s="13" t="n"/>
      <c r="J891" s="13" t="n"/>
      <c r="K891" s="13" t="n"/>
    </row>
    <row r="892">
      <c r="I892" s="13" t="n"/>
      <c r="J892" s="13" t="n"/>
      <c r="K892" s="13" t="n"/>
    </row>
    <row r="893">
      <c r="I893" s="13" t="n"/>
      <c r="J893" s="13" t="n"/>
      <c r="K893" s="13" t="n"/>
    </row>
    <row r="894">
      <c r="I894" s="13" t="n"/>
      <c r="J894" s="13" t="n"/>
      <c r="K894" s="13" t="n"/>
    </row>
    <row r="895">
      <c r="I895" s="13" t="n"/>
      <c r="J895" s="13" t="n"/>
      <c r="K895" s="13" t="n"/>
    </row>
    <row r="896">
      <c r="I896" s="13" t="n"/>
      <c r="J896" s="13" t="n"/>
      <c r="K896" s="13" t="n"/>
    </row>
    <row r="897">
      <c r="I897" s="13" t="n"/>
      <c r="J897" s="13" t="n"/>
      <c r="K897" s="13" t="n"/>
    </row>
    <row r="898">
      <c r="I898" s="13" t="n"/>
      <c r="J898" s="13" t="n"/>
      <c r="K898" s="13" t="n"/>
    </row>
    <row r="899">
      <c r="I899" s="13" t="n"/>
      <c r="J899" s="13" t="n"/>
      <c r="K899" s="13" t="n"/>
    </row>
    <row r="900">
      <c r="I900" s="13" t="n"/>
      <c r="J900" s="13" t="n"/>
      <c r="K900" s="13" t="n"/>
    </row>
    <row r="901">
      <c r="I901" s="13" t="n"/>
      <c r="J901" s="13" t="n"/>
      <c r="K901" s="13" t="n"/>
    </row>
    <row r="902">
      <c r="I902" s="13" t="n"/>
      <c r="J902" s="13" t="n"/>
      <c r="K902" s="13" t="n"/>
    </row>
    <row r="903">
      <c r="I903" s="13" t="n"/>
      <c r="J903" s="13" t="n"/>
      <c r="K903" s="13" t="n"/>
    </row>
    <row r="904">
      <c r="I904" s="13" t="n"/>
      <c r="J904" s="13" t="n"/>
      <c r="K904" s="13" t="n"/>
    </row>
    <row r="905">
      <c r="I905" s="13" t="n"/>
      <c r="J905" s="13" t="n"/>
      <c r="K905" s="13" t="n"/>
    </row>
    <row r="906">
      <c r="I906" s="13" t="n"/>
      <c r="J906" s="13" t="n"/>
      <c r="K906" s="13" t="n"/>
    </row>
    <row r="907">
      <c r="I907" s="13" t="n"/>
      <c r="J907" s="13" t="n"/>
      <c r="K907" s="13" t="n"/>
    </row>
    <row r="908">
      <c r="I908" s="13" t="n"/>
      <c r="J908" s="13" t="n"/>
      <c r="K908" s="13" t="n"/>
    </row>
    <row r="909">
      <c r="I909" s="13" t="n"/>
      <c r="J909" s="13" t="n"/>
      <c r="K909" s="13" t="n"/>
    </row>
    <row r="910">
      <c r="I910" s="13" t="n"/>
      <c r="J910" s="13" t="n"/>
      <c r="K910" s="13" t="n"/>
    </row>
    <row r="911">
      <c r="I911" s="13" t="n"/>
      <c r="J911" s="13" t="n"/>
      <c r="K911" s="13" t="n"/>
    </row>
    <row r="912">
      <c r="I912" s="13" t="n"/>
      <c r="J912" s="13" t="n"/>
      <c r="K912" s="13" t="n"/>
    </row>
    <row r="913">
      <c r="I913" s="13" t="n"/>
      <c r="J913" s="13" t="n"/>
      <c r="K913" s="13" t="n"/>
    </row>
    <row r="914">
      <c r="I914" s="13" t="n"/>
      <c r="J914" s="13" t="n"/>
      <c r="K914" s="13" t="n"/>
    </row>
    <row r="915">
      <c r="I915" s="13" t="n"/>
      <c r="J915" s="13" t="n"/>
      <c r="K915" s="13" t="n"/>
    </row>
    <row r="916">
      <c r="I916" s="13" t="n"/>
      <c r="J916" s="13" t="n"/>
      <c r="K916" s="13" t="n"/>
    </row>
    <row r="917">
      <c r="I917" s="13" t="n"/>
      <c r="J917" s="13" t="n"/>
      <c r="K917" s="13" t="n"/>
    </row>
    <row r="918">
      <c r="I918" s="13" t="n"/>
      <c r="J918" s="13" t="n"/>
      <c r="K918" s="13" t="n"/>
    </row>
    <row r="919">
      <c r="I919" s="13" t="n"/>
      <c r="J919" s="13" t="n"/>
      <c r="K919" s="13" t="n"/>
    </row>
    <row r="920">
      <c r="I920" s="13" t="n"/>
      <c r="J920" s="13" t="n"/>
      <c r="K920" s="13" t="n"/>
    </row>
    <row r="921">
      <c r="I921" s="13" t="n"/>
      <c r="J921" s="13" t="n"/>
      <c r="K921" s="13" t="n"/>
    </row>
    <row r="922">
      <c r="I922" s="13" t="n"/>
      <c r="J922" s="13" t="n"/>
      <c r="K922" s="13" t="n"/>
    </row>
    <row r="923">
      <c r="I923" s="13" t="n"/>
      <c r="J923" s="13" t="n"/>
      <c r="K923" s="13" t="n"/>
    </row>
    <row r="924">
      <c r="I924" s="13" t="n"/>
      <c r="J924" s="13" t="n"/>
      <c r="K924" s="13" t="n"/>
    </row>
    <row r="925">
      <c r="I925" s="13" t="n"/>
      <c r="J925" s="13" t="n"/>
      <c r="K925" s="13" t="n"/>
    </row>
    <row r="926">
      <c r="I926" s="13" t="n"/>
      <c r="J926" s="13" t="n"/>
      <c r="K926" s="13" t="n"/>
    </row>
    <row r="927">
      <c r="I927" s="13" t="n"/>
      <c r="J927" s="13" t="n"/>
      <c r="K927" s="13" t="n"/>
    </row>
    <row r="928">
      <c r="I928" s="13" t="n"/>
      <c r="J928" s="13" t="n"/>
      <c r="K928" s="13" t="n"/>
    </row>
    <row r="929">
      <c r="I929" s="13" t="n"/>
      <c r="J929" s="13" t="n"/>
      <c r="K929" s="13" t="n"/>
    </row>
    <row r="930">
      <c r="I930" s="13" t="n"/>
      <c r="J930" s="13" t="n"/>
      <c r="K930" s="13" t="n"/>
    </row>
    <row r="931">
      <c r="I931" s="13" t="n"/>
      <c r="J931" s="13" t="n"/>
      <c r="K931" s="13" t="n"/>
    </row>
    <row r="932">
      <c r="I932" s="13" t="n"/>
      <c r="J932" s="13" t="n"/>
      <c r="K932" s="13" t="n"/>
    </row>
    <row r="933">
      <c r="I933" s="13" t="n"/>
      <c r="J933" s="13" t="n"/>
      <c r="K933" s="13" t="n"/>
    </row>
    <row r="934">
      <c r="I934" s="13" t="n"/>
      <c r="J934" s="13" t="n"/>
      <c r="K934" s="13" t="n"/>
    </row>
    <row r="935">
      <c r="I935" s="13" t="n"/>
      <c r="J935" s="13" t="n"/>
      <c r="K935" s="13" t="n"/>
    </row>
    <row r="936">
      <c r="I936" s="13" t="n"/>
      <c r="J936" s="13" t="n"/>
      <c r="K936" s="13" t="n"/>
    </row>
    <row r="937">
      <c r="I937" s="13" t="n"/>
      <c r="J937" s="13" t="n"/>
      <c r="K937" s="13" t="n"/>
    </row>
    <row r="938">
      <c r="I938" s="13" t="n"/>
      <c r="J938" s="13" t="n"/>
      <c r="K938" s="13" t="n"/>
    </row>
    <row r="939">
      <c r="I939" s="13" t="n"/>
      <c r="J939" s="13" t="n"/>
      <c r="K939" s="13" t="n"/>
    </row>
    <row r="940">
      <c r="I940" s="13" t="n"/>
      <c r="J940" s="13" t="n"/>
      <c r="K940" s="13" t="n"/>
    </row>
    <row r="941">
      <c r="I941" s="13" t="n"/>
      <c r="J941" s="13" t="n"/>
      <c r="K941" s="13" t="n"/>
    </row>
    <row r="942">
      <c r="I942" s="13" t="n"/>
      <c r="J942" s="13" t="n"/>
      <c r="K942" s="13" t="n"/>
    </row>
    <row r="943">
      <c r="I943" s="13" t="n"/>
      <c r="J943" s="13" t="n"/>
      <c r="K943" s="13" t="n"/>
    </row>
    <row r="944">
      <c r="I944" s="13" t="n"/>
      <c r="J944" s="13" t="n"/>
      <c r="K944" s="13" t="n"/>
    </row>
    <row r="945">
      <c r="I945" s="13" t="n"/>
      <c r="J945" s="13" t="n"/>
      <c r="K945" s="13" t="n"/>
    </row>
    <row r="946">
      <c r="I946" s="13" t="n"/>
      <c r="J946" s="13" t="n"/>
      <c r="K946" s="13" t="n"/>
    </row>
    <row r="947">
      <c r="I947" s="13" t="n"/>
      <c r="J947" s="13" t="n"/>
      <c r="K947" s="13" t="n"/>
    </row>
    <row r="948">
      <c r="I948" s="13" t="n"/>
      <c r="J948" s="13" t="n"/>
      <c r="K948" s="13" t="n"/>
    </row>
    <row r="949">
      <c r="I949" s="13" t="n"/>
      <c r="J949" s="13" t="n"/>
      <c r="K949" s="13" t="n"/>
    </row>
    <row r="950">
      <c r="I950" s="13" t="n"/>
      <c r="J950" s="13" t="n"/>
      <c r="K950" s="13" t="n"/>
    </row>
    <row r="951">
      <c r="I951" s="13" t="n"/>
      <c r="J951" s="13" t="n"/>
      <c r="K951" s="13" t="n"/>
    </row>
    <row r="952">
      <c r="I952" s="13" t="n"/>
      <c r="J952" s="13" t="n"/>
      <c r="K952" s="13" t="n"/>
    </row>
    <row r="953">
      <c r="I953" s="13" t="n"/>
      <c r="J953" s="13" t="n"/>
      <c r="K953" s="13" t="n"/>
    </row>
    <row r="954">
      <c r="I954" s="13" t="n"/>
      <c r="J954" s="13" t="n"/>
      <c r="K954" s="13" t="n"/>
    </row>
    <row r="955">
      <c r="I955" s="13" t="n"/>
      <c r="J955" s="13" t="n"/>
      <c r="K955" s="13" t="n"/>
    </row>
    <row r="956">
      <c r="I956" s="13" t="n"/>
      <c r="J956" s="13" t="n"/>
      <c r="K956" s="13" t="n"/>
    </row>
    <row r="957">
      <c r="I957" s="13" t="n"/>
      <c r="J957" s="13" t="n"/>
      <c r="K957" s="13" t="n"/>
    </row>
    <row r="958">
      <c r="I958" s="13" t="n"/>
      <c r="J958" s="13" t="n"/>
      <c r="K958" s="13" t="n"/>
    </row>
    <row r="959">
      <c r="I959" s="13" t="n"/>
      <c r="J959" s="13" t="n"/>
      <c r="K959" s="13" t="n"/>
    </row>
    <row r="960">
      <c r="I960" s="13" t="n"/>
      <c r="J960" s="13" t="n"/>
      <c r="K960" s="13" t="n"/>
    </row>
    <row r="961">
      <c r="I961" s="13" t="n"/>
      <c r="J961" s="13" t="n"/>
      <c r="K961" s="13" t="n"/>
    </row>
    <row r="962">
      <c r="I962" s="13" t="n"/>
      <c r="J962" s="13" t="n"/>
      <c r="K962" s="13" t="n"/>
    </row>
    <row r="963">
      <c r="I963" s="13" t="n"/>
      <c r="J963" s="13" t="n"/>
      <c r="K963" s="13" t="n"/>
    </row>
    <row r="964">
      <c r="I964" s="13" t="n"/>
      <c r="J964" s="13" t="n"/>
      <c r="K964" s="13" t="n"/>
    </row>
    <row r="965">
      <c r="I965" s="13" t="n"/>
      <c r="J965" s="13" t="n"/>
      <c r="K965" s="13" t="n"/>
    </row>
    <row r="966">
      <c r="I966" s="13" t="n"/>
      <c r="J966" s="13" t="n"/>
      <c r="K966" s="13" t="n"/>
    </row>
    <row r="967">
      <c r="I967" s="13" t="n"/>
      <c r="J967" s="13" t="n"/>
      <c r="K967" s="13" t="n"/>
    </row>
    <row r="968">
      <c r="I968" s="13" t="n"/>
      <c r="J968" s="13" t="n"/>
      <c r="K968" s="13" t="n"/>
    </row>
    <row r="969">
      <c r="I969" s="13" t="n"/>
      <c r="J969" s="13" t="n"/>
      <c r="K969" s="13" t="n"/>
    </row>
    <row r="970">
      <c r="I970" s="13" t="n"/>
      <c r="J970" s="13" t="n"/>
      <c r="K970" s="13" t="n"/>
    </row>
    <row r="971">
      <c r="I971" s="13" t="n"/>
      <c r="J971" s="13" t="n"/>
      <c r="K971" s="13" t="n"/>
    </row>
    <row r="972">
      <c r="I972" s="13" t="n"/>
      <c r="J972" s="13" t="n"/>
      <c r="K972" s="13" t="n"/>
    </row>
    <row r="973">
      <c r="I973" s="13" t="n"/>
      <c r="J973" s="13" t="n"/>
      <c r="K973" s="13" t="n"/>
    </row>
    <row r="974">
      <c r="I974" s="13" t="n"/>
      <c r="J974" s="13" t="n"/>
      <c r="K974" s="13" t="n"/>
    </row>
    <row r="975">
      <c r="I975" s="13" t="n"/>
      <c r="J975" s="13" t="n"/>
      <c r="K975" s="13" t="n"/>
    </row>
    <row r="976">
      <c r="I976" s="13" t="n"/>
      <c r="J976" s="13" t="n"/>
      <c r="K976" s="13" t="n"/>
    </row>
    <row r="977">
      <c r="I977" s="13" t="n"/>
      <c r="J977" s="13" t="n"/>
      <c r="K977" s="13" t="n"/>
    </row>
    <row r="978">
      <c r="I978" s="13" t="n"/>
      <c r="J978" s="13" t="n"/>
      <c r="K978" s="13" t="n"/>
    </row>
    <row r="979">
      <c r="I979" s="13" t="n"/>
      <c r="J979" s="13" t="n"/>
      <c r="K979" s="13" t="n"/>
    </row>
    <row r="980">
      <c r="I980" s="13" t="n"/>
      <c r="J980" s="13" t="n"/>
      <c r="K980" s="13"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1</v>
      </c>
      <c r="B2" s="3">
        <f t="array" ref="B2">_xlfn.XLOOKUP(A2,country!$A$2:$A$6,country!$B$2:$B$6)</f>
        <v/>
      </c>
      <c r="C2" s="3">
        <f t="array" ref="C2">_xlfn.XLOOKUP(A2,country!$A$2:$A$6,country!$C$2:$C$6)</f>
        <v/>
      </c>
      <c r="D2" s="3" t="n">
        <v>15</v>
      </c>
      <c r="E2" s="3" t="n">
        <v>5</v>
      </c>
      <c r="F2" s="3" t="n">
        <v>1</v>
      </c>
      <c r="G2" s="13" t="n">
        <v>1</v>
      </c>
      <c r="H2" s="13" t="inlineStr">
        <is>
          <t>常時</t>
        </is>
      </c>
      <c r="I2" s="13" t="inlineStr">
        <is>
          <t>自分の全ての衛星の打ち上げコスト-3</t>
        </is>
      </c>
      <c r="J2" s="3" t="inlineStr">
        <is>
          <t>hammer</t>
        </is>
      </c>
      <c r="K2" s="3">
        <f>upper(J2)</f>
        <v/>
      </c>
      <c r="L2" s="3" t="inlineStr">
        <is>
          <t>3x4=12</t>
        </is>
      </c>
    </row>
    <row r="3">
      <c r="A3" s="3" t="n">
        <v>1</v>
      </c>
      <c r="B3" s="3">
        <f t="array" ref="B3">_xlfn.XLOOKUP(A3,country!$A$2:$A$6,country!$B$2:$B$6)</f>
        <v/>
      </c>
      <c r="C3" s="3">
        <f t="array" ref="C3">_xlfn.XLOOKUP(A3,country!$A$2:$A$6,country!$C$2:$C$6)</f>
        <v/>
      </c>
      <c r="D3" s="3" t="n">
        <v>20</v>
      </c>
      <c r="E3" s="3" t="n">
        <v>10</v>
      </c>
      <c r="F3" s="3" t="n">
        <v>1</v>
      </c>
      <c r="G3" s="13" t="n">
        <v>1</v>
      </c>
      <c r="H3" s="13" t="inlineStr">
        <is>
          <t>常時</t>
        </is>
      </c>
      <c r="I3" s="13" t="inlineStr">
        <is>
          <t>自分の全ての衛星への配備コスト-1</t>
        </is>
      </c>
      <c r="J3" s="3" t="inlineStr">
        <is>
          <t>retro</t>
        </is>
      </c>
      <c r="K3" s="3">
        <f>upper(J3)</f>
        <v/>
      </c>
      <c r="L3" s="3" t="n">
        <v>10</v>
      </c>
    </row>
    <row r="4">
      <c r="A4" s="3" t="n">
        <v>1</v>
      </c>
      <c r="B4" s="3">
        <f t="array" ref="B4">_xlfn.XLOOKUP(A4,country!$A$2:$A$6,country!$B$2:$B$6)</f>
        <v/>
      </c>
      <c r="C4" s="3">
        <f t="array" ref="C4">_xlfn.XLOOKUP(A4,country!$A$2:$A$6,country!$C$2:$C$6)</f>
        <v/>
      </c>
      <c r="D4" s="3" t="n">
        <v>20</v>
      </c>
      <c r="E4" s="3" t="n">
        <v>10</v>
      </c>
      <c r="F4" s="3" t="n">
        <v>1</v>
      </c>
      <c r="G4" s="13" t="n">
        <v>1</v>
      </c>
      <c r="H4" s="13" t="inlineStr">
        <is>
          <t>常時</t>
        </is>
      </c>
      <c r="I4" s="13" t="inlineStr">
        <is>
          <t>自分の全ての衛星の通信確立コスト-1</t>
        </is>
      </c>
      <c r="J4" s="3" t="inlineStr">
        <is>
          <t>scallop</t>
        </is>
      </c>
      <c r="K4" s="3">
        <f>upper(J4)</f>
        <v/>
      </c>
      <c r="L4" s="3" t="n">
        <v>12</v>
      </c>
    </row>
    <row r="5">
      <c r="A5" s="3" t="n">
        <v>1</v>
      </c>
      <c r="B5" s="3">
        <f t="array" ref="B5">_xlfn.XLOOKUP(A5,country!$A$2:$A$6,country!$B$2:$B$6)</f>
        <v/>
      </c>
      <c r="C5" s="3">
        <f t="array" ref="C5">_xlfn.XLOOKUP(A5,country!$A$2:$A$6,country!$C$2:$C$6)</f>
        <v/>
      </c>
      <c r="D5" s="3" t="n">
        <v>20</v>
      </c>
      <c r="E5" s="3" t="n">
        <v>10</v>
      </c>
      <c r="F5" s="3" t="n">
        <v>1</v>
      </c>
      <c r="G5" s="13" t="n">
        <v>1</v>
      </c>
      <c r="H5" s="13" t="inlineStr">
        <is>
          <t>常時</t>
        </is>
      </c>
      <c r="I5" s="13" t="inlineStr">
        <is>
          <t>プロジェクトカードを捨てたときに得られる[マネー]+2</t>
        </is>
      </c>
      <c r="J5" s="3" t="inlineStr">
        <is>
          <t>concorde</t>
        </is>
      </c>
      <c r="K5" s="3">
        <f>upper(J5)</f>
        <v/>
      </c>
      <c r="L5" s="3" t="inlineStr">
        <is>
          <t>6x2=12</t>
        </is>
      </c>
    </row>
    <row r="6">
      <c r="A6" s="3" t="n">
        <v>1</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予算発行フェイズ開始時、マネー+2</t>
        </is>
      </c>
      <c r="J6" s="3" t="inlineStr">
        <is>
          <t>stealth</t>
        </is>
      </c>
      <c r="K6" s="3">
        <f>upper(J6)</f>
        <v/>
      </c>
      <c r="L6" s="3" t="inlineStr">
        <is>
          <t>2x7=14</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2</v>
      </c>
      <c r="B2" s="3">
        <f t="array" ref="B2">_xlfn.XLOOKUP(A2,country!$A$2:$A$6,country!$B$2:$B$6)</f>
        <v/>
      </c>
      <c r="C2" s="3">
        <f t="array" ref="C2">_xlfn.XLOOKUP(A2,country!$A$2:$A$6,country!$C$2:$C$6)</f>
        <v/>
      </c>
      <c r="D2" s="3" t="n">
        <v>15</v>
      </c>
      <c r="E2" s="3" t="n">
        <v>5</v>
      </c>
      <c r="F2" s="3" t="n">
        <v>1</v>
      </c>
      <c r="G2" s="13" t="n">
        <v>1</v>
      </c>
      <c r="H2" s="13" t="inlineStr">
        <is>
          <t>起動(企画)</t>
        </is>
      </c>
      <c r="I2" s="13" t="inlineStr">
        <is>
          <t>企画のアクション選択ボーナスは「6枚引いて3枚を手札に残す」になる</t>
        </is>
      </c>
      <c r="J2" s="3" t="inlineStr">
        <is>
          <t>hammer</t>
        </is>
      </c>
      <c r="K2" s="3">
        <f>upper(J2)</f>
        <v/>
      </c>
      <c r="L2" s="3" t="inlineStr">
        <is>
          <t>3x3=9</t>
        </is>
      </c>
    </row>
    <row r="3">
      <c r="A3" s="3" t="n">
        <v>2</v>
      </c>
      <c r="B3" s="3">
        <f t="array" ref="B3">_xlfn.XLOOKUP(A3,country!$A$2:$A$6,country!$B$2:$B$6)</f>
        <v/>
      </c>
      <c r="C3" s="3">
        <f t="array" ref="C3">_xlfn.XLOOKUP(A3,country!$A$2:$A$6,country!$C$2:$C$6)</f>
        <v/>
      </c>
      <c r="D3" s="3" t="n">
        <v>20</v>
      </c>
      <c r="E3" s="3" t="n">
        <v>10</v>
      </c>
      <c r="F3" s="3" t="n">
        <v>1</v>
      </c>
      <c r="G3" s="13" t="n">
        <v>1</v>
      </c>
      <c r="H3" s="13" t="inlineStr">
        <is>
          <t>起動(打上)</t>
        </is>
      </c>
      <c r="I3" s="13" t="inlineStr">
        <is>
          <t>打ち上げのアクション選択ボーナスとして、予算+1</t>
        </is>
      </c>
      <c r="J3" s="3" t="inlineStr">
        <is>
          <t>retro</t>
        </is>
      </c>
      <c r="K3" s="3">
        <f>upper(J3)</f>
        <v/>
      </c>
      <c r="L3" s="3" t="n">
        <v>10</v>
      </c>
    </row>
    <row r="4">
      <c r="A4" s="3" t="n">
        <v>2</v>
      </c>
      <c r="B4" s="3">
        <f t="array" ref="B4">_xlfn.XLOOKUP(A4,country!$A$2:$A$6,country!$B$2:$B$6)</f>
        <v/>
      </c>
      <c r="C4" s="3">
        <f t="array" ref="C4">_xlfn.XLOOKUP(A4,country!$A$2:$A$6,country!$C$2:$C$6)</f>
        <v/>
      </c>
      <c r="D4" s="3" t="n">
        <v>20</v>
      </c>
      <c r="E4" s="3" t="n">
        <v>10</v>
      </c>
      <c r="F4" s="3" t="n">
        <v>1</v>
      </c>
      <c r="G4" s="13" t="n">
        <v>1</v>
      </c>
      <c r="H4" s="13" t="inlineStr">
        <is>
          <t>起動(配備)</t>
        </is>
      </c>
      <c r="I4" s="13" t="inlineStr">
        <is>
          <t>配備のアクション選択ボーナスとして、プロジェクトカードをもう1枚追加で引く</t>
        </is>
      </c>
      <c r="J4" s="3" t="inlineStr">
        <is>
          <t>scallop</t>
        </is>
      </c>
      <c r="K4" s="3">
        <f>upper(J4)</f>
        <v/>
      </c>
      <c r="L4" s="3" t="inlineStr">
        <is>
          <t>3x3=9</t>
        </is>
      </c>
    </row>
    <row r="5">
      <c r="A5" s="3" t="n">
        <v>2</v>
      </c>
      <c r="B5" s="3">
        <f t="array" ref="B5">_xlfn.XLOOKUP(A5,country!$A$2:$A$6,country!$B$2:$B$6)</f>
        <v/>
      </c>
      <c r="C5" s="3">
        <f t="array" ref="C5">_xlfn.XLOOKUP(A5,country!$A$2:$A$6,country!$C$2:$C$6)</f>
        <v/>
      </c>
      <c r="D5" s="3" t="n">
        <v>20</v>
      </c>
      <c r="E5" s="3" t="n">
        <v>10</v>
      </c>
      <c r="F5" s="3" t="n">
        <v>1</v>
      </c>
      <c r="G5" s="13" t="n">
        <v>1</v>
      </c>
      <c r="H5" s="3" t="inlineStr">
        <is>
          <t>起動(通信確立)</t>
        </is>
      </c>
      <c r="I5" s="13" t="inlineStr">
        <is>
          <t>通信確立のアクション選択ボーナスで選択できる区域は、進行方向上下に加え、隣接する全区域を含める</t>
        </is>
      </c>
      <c r="J5" s="3" t="inlineStr">
        <is>
          <t>concorde</t>
        </is>
      </c>
      <c r="K5" s="3">
        <f>upper(J5)</f>
        <v/>
      </c>
      <c r="L5" s="3" t="n">
        <v>12</v>
      </c>
    </row>
    <row r="6">
      <c r="A6" s="3" t="n">
        <v>2</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予算発行のアクション選択ボーナスで得られる[マネー]+3</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3</v>
      </c>
      <c r="B2" s="3">
        <f t="array" ref="B2">_xlfn.XLOOKUP(A2,country!$A$2:$A$6,country!$B$2:$B$6)</f>
        <v/>
      </c>
      <c r="C2" s="3">
        <f t="array" ref="C2">_xlfn.XLOOKUP(A2,country!$A$2:$A$6,country!$C$2:$C$6)</f>
        <v/>
      </c>
      <c r="D2" s="3" t="n">
        <v>15</v>
      </c>
      <c r="E2" s="3" t="n">
        <v>5</v>
      </c>
      <c r="F2" s="3" t="n">
        <v>1</v>
      </c>
      <c r="G2" s="13" t="n">
        <v>1</v>
      </c>
      <c r="H2" s="13" t="inlineStr">
        <is>
          <t>起動(企画)</t>
        </is>
      </c>
      <c r="I2" s="13" t="inlineStr">
        <is>
          <t>この衛星に[Crew][Device][Software]が配備されているならば、3[マネー]支払えば自分で企画アクションを選択していなくてもアクション選択ボーナスを得られる</t>
        </is>
      </c>
      <c r="J2" s="3" t="inlineStr">
        <is>
          <t>hammer</t>
        </is>
      </c>
      <c r="K2" s="3">
        <f>upper(J2)</f>
        <v/>
      </c>
      <c r="L2" s="3" t="n">
        <v>10</v>
      </c>
    </row>
    <row r="3">
      <c r="A3" s="3" t="n">
        <v>3</v>
      </c>
      <c r="B3" s="3">
        <f t="array" ref="B3">_xlfn.XLOOKUP(A3,country!$A$2:$A$6,country!$B$2:$B$6)</f>
        <v/>
      </c>
      <c r="C3" s="3">
        <f t="array" ref="C3">_xlfn.XLOOKUP(A3,country!$A$2:$A$6,country!$C$2:$C$6)</f>
        <v/>
      </c>
      <c r="D3" s="3" t="n">
        <v>25</v>
      </c>
      <c r="E3" s="3" t="n">
        <v>10</v>
      </c>
      <c r="F3" s="3" t="n">
        <v>1</v>
      </c>
      <c r="G3" s="13" t="n">
        <v>1</v>
      </c>
      <c r="H3" s="13" t="inlineStr">
        <is>
          <t>起動(配備)</t>
        </is>
      </c>
      <c r="I3" s="13" t="inlineStr">
        <is>
          <t>この衛星に[Crew][Device][Software]が配備されているならば、3マネー支払えば自分で配備アクションを選択していなくてもアクション選択ボーナスを得られる</t>
        </is>
      </c>
      <c r="J3" s="3" t="inlineStr">
        <is>
          <t>retro</t>
        </is>
      </c>
      <c r="K3" s="3">
        <f>upper(J3)</f>
        <v/>
      </c>
      <c r="L3" s="3" t="n">
        <v>10</v>
      </c>
    </row>
    <row r="4">
      <c r="A4" s="3" t="n">
        <v>3</v>
      </c>
      <c r="B4" s="3">
        <f t="array" ref="B4">_xlfn.XLOOKUP(A4,country!$A$2:$A$6,country!$B$2:$B$6)</f>
        <v/>
      </c>
      <c r="C4" s="3">
        <f t="array" ref="C4">_xlfn.XLOOKUP(A4,country!$A$2:$A$6,country!$C$2:$C$6)</f>
        <v/>
      </c>
      <c r="D4" s="3" t="n">
        <v>30</v>
      </c>
      <c r="E4" s="3" t="n">
        <v>10</v>
      </c>
      <c r="F4" s="3" t="n">
        <v>1</v>
      </c>
      <c r="G4" s="13" t="n">
        <v>1</v>
      </c>
      <c r="H4" s="13" t="inlineStr">
        <is>
          <t>起動(通信確立)</t>
        </is>
      </c>
      <c r="I4" s="13" t="inlineStr">
        <is>
          <t>この衛星に[Crew][Device][Software]が配備されているならば、3マネー支払えば自分で通信確立アクションを選択していなくてもアクション選択ボーナスを得られる</t>
        </is>
      </c>
      <c r="J4" s="3" t="inlineStr">
        <is>
          <t>scallop</t>
        </is>
      </c>
      <c r="K4" s="3">
        <f>upper(J4)</f>
        <v/>
      </c>
      <c r="L4" s="3" t="n">
        <v>20</v>
      </c>
    </row>
    <row r="5">
      <c r="A5" s="3" t="n">
        <v>3</v>
      </c>
      <c r="B5" s="3">
        <f t="array" ref="B5">_xlfn.XLOOKUP(A5,country!$A$2:$A$6,country!$B$2:$B$6)</f>
        <v/>
      </c>
      <c r="C5" s="3">
        <f t="array" ref="C5">_xlfn.XLOOKUP(A5,country!$A$2:$A$6,country!$C$2:$C$6)</f>
        <v/>
      </c>
      <c r="D5" s="3" t="n">
        <v>30</v>
      </c>
      <c r="E5" s="3" t="n">
        <v>10</v>
      </c>
      <c r="F5" s="3" t="n">
        <v>1</v>
      </c>
      <c r="G5" s="13" t="n">
        <v>1</v>
      </c>
      <c r="H5" s="13" t="inlineStr">
        <is>
          <t>起動(打ち上げ/転回)</t>
        </is>
      </c>
      <c r="I5" s="13" t="inlineStr">
        <is>
          <t>この衛星に[Crew][Device][Software]が配備されているならば、3マネー支払えば自分で打ち上げ/転回アクションを選択していなくてもアクション選択ボーナスを得られる</t>
        </is>
      </c>
      <c r="J5" s="3" t="inlineStr">
        <is>
          <t>concorde</t>
        </is>
      </c>
      <c r="K5" s="3">
        <f>upper(J5)</f>
        <v/>
      </c>
      <c r="L5" s="3" t="n">
        <v>20</v>
      </c>
    </row>
    <row r="6">
      <c r="A6" s="3" t="n">
        <v>3</v>
      </c>
      <c r="B6" s="3">
        <f t="array" ref="B6">_xlfn.XLOOKUP(A6,country!$A$2:$A$6,country!$B$2:$B$6)</f>
        <v/>
      </c>
      <c r="C6" s="3">
        <f t="array" ref="C6">_xlfn.XLOOKUP(A6,country!$A$2:$A$6,country!$C$2:$C$6)</f>
        <v/>
      </c>
      <c r="D6" s="3" t="n">
        <v>35</v>
      </c>
      <c r="E6" s="3" t="n">
        <v>10</v>
      </c>
      <c r="F6" s="3" t="n">
        <v>1</v>
      </c>
      <c r="G6" s="13" t="n">
        <v>1</v>
      </c>
      <c r="H6" s="13" t="inlineStr">
        <is>
          <t>起動(予算発行)</t>
        </is>
      </c>
      <c r="I6" s="13" t="inlineStr">
        <is>
          <t>この衛星に[Crew][Device][Software]が配備されているならば、3マネー支払えば自分で予算発行アクションを選択していなくてもアクション選択ボーナスを得られる</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4</v>
      </c>
      <c r="B2" s="3">
        <f t="array" ref="B2">_xlfn.XLOOKUP(A2,country!$A$2:$A$6,country!$B$2:$B$6)</f>
        <v/>
      </c>
      <c r="C2" s="3">
        <f t="array" ref="C2">_xlfn.XLOOKUP(A2,country!$A$2:$A$6,country!$C$2:$C$6)</f>
        <v/>
      </c>
      <c r="D2" s="3" t="n">
        <v>15</v>
      </c>
      <c r="E2" s="3" t="n">
        <v>5</v>
      </c>
      <c r="F2" s="3" t="n">
        <v>1</v>
      </c>
      <c r="G2" s="13" t="n">
        <v>1</v>
      </c>
      <c r="H2" s="13" t="inlineStr">
        <is>
          <t>起動(通信確立)</t>
        </is>
      </c>
      <c r="I2" s="13" t="inlineStr">
        <is>
          <t>この衛星が地域A,C,E,Gの通信確立する際、通信確立コスト-2</t>
        </is>
      </c>
      <c r="J2" s="3" t="inlineStr">
        <is>
          <t>hammer</t>
        </is>
      </c>
      <c r="K2" s="3">
        <f>upper(J2)</f>
        <v/>
      </c>
      <c r="L2" s="3" t="inlineStr">
        <is>
          <t>5x2=10</t>
        </is>
      </c>
    </row>
    <row r="3">
      <c r="A3" s="3" t="n">
        <v>4</v>
      </c>
      <c r="B3" s="3">
        <f t="array" ref="B3">_xlfn.XLOOKUP(A3,country!$A$2:$A$6,country!$B$2:$B$6)</f>
        <v/>
      </c>
      <c r="C3" s="3">
        <f t="array" ref="C3">_xlfn.XLOOKUP(A3,country!$A$2:$A$6,country!$C$2:$C$6)</f>
        <v/>
      </c>
      <c r="D3" s="3" t="n">
        <v>15</v>
      </c>
      <c r="E3" s="3" t="n">
        <v>5</v>
      </c>
      <c r="F3" s="3" t="n">
        <v>1</v>
      </c>
      <c r="G3" s="13" t="n">
        <v>1</v>
      </c>
      <c r="H3" s="13" t="inlineStr">
        <is>
          <t>起動(通信確立)</t>
        </is>
      </c>
      <c r="I3" s="13" t="inlineStr">
        <is>
          <t>この衛星が地域B,D,F,Hの通信確立する際、通信確立コスト-2</t>
        </is>
      </c>
      <c r="J3" s="3" t="inlineStr">
        <is>
          <t>retro</t>
        </is>
      </c>
      <c r="K3" s="3">
        <f>upper(J3)</f>
        <v/>
      </c>
      <c r="L3" s="3" t="inlineStr">
        <is>
          <t>5x2=10</t>
        </is>
      </c>
    </row>
    <row r="4">
      <c r="A4" s="3" t="n">
        <v>4</v>
      </c>
      <c r="B4" s="3">
        <f t="array" ref="B4">_xlfn.XLOOKUP(A4,country!$A$2:$A$6,country!$B$2:$B$6)</f>
        <v/>
      </c>
      <c r="C4" s="3">
        <f t="array" ref="C4">_xlfn.XLOOKUP(A4,country!$A$2:$A$6,country!$C$2:$C$6)</f>
        <v/>
      </c>
      <c r="D4" s="3" t="n">
        <v>20</v>
      </c>
      <c r="E4" s="3" t="n">
        <v>10</v>
      </c>
      <c r="F4" s="3" t="n">
        <v>1</v>
      </c>
      <c r="G4" s="13" t="n">
        <v>1</v>
      </c>
      <c r="H4" s="13" t="inlineStr">
        <is>
          <t>起動(通信確立)</t>
        </is>
      </c>
      <c r="I4" s="13" t="inlineStr">
        <is>
          <t>この衛星が陸区域の通信確立する際、通信確立コスト-3</t>
        </is>
      </c>
      <c r="J4" s="3" t="inlineStr">
        <is>
          <t>scallop</t>
        </is>
      </c>
      <c r="K4" s="3">
        <f>upper(J4)</f>
        <v/>
      </c>
      <c r="L4" s="3" t="inlineStr">
        <is>
          <t>3x4=12</t>
        </is>
      </c>
    </row>
    <row r="5">
      <c r="A5" s="3" t="n">
        <v>4</v>
      </c>
      <c r="B5" s="3">
        <f t="array" ref="B5">_xlfn.XLOOKUP(A5,country!$A$2:$A$6,country!$B$2:$B$6)</f>
        <v/>
      </c>
      <c r="C5" s="3">
        <f t="array" ref="C5">_xlfn.XLOOKUP(A5,country!$A$2:$A$6,country!$C$2:$C$6)</f>
        <v/>
      </c>
      <c r="D5" s="3" t="n">
        <v>20</v>
      </c>
      <c r="E5" s="3" t="n">
        <v>10</v>
      </c>
      <c r="F5" s="3" t="n">
        <v>1</v>
      </c>
      <c r="G5" s="13" t="n">
        <v>1</v>
      </c>
      <c r="H5" s="13" t="inlineStr">
        <is>
          <t>起動(通信確立)</t>
        </is>
      </c>
      <c r="I5" s="13" t="inlineStr">
        <is>
          <t>この衛星が海区域の通信確立する際、通信確立コスト-2</t>
        </is>
      </c>
      <c r="J5" s="3" t="inlineStr">
        <is>
          <t>concorde</t>
        </is>
      </c>
      <c r="K5" s="3">
        <f>upper(J5)</f>
        <v/>
      </c>
      <c r="L5" s="3" t="inlineStr">
        <is>
          <t>6x2=12</t>
        </is>
      </c>
    </row>
    <row r="6">
      <c r="A6" s="3" t="n">
        <v>4</v>
      </c>
      <c r="B6" s="3">
        <f t="array" ref="B6">_xlfn.XLOOKUP(A6,country!$A$2:$A$6,country!$B$2:$B$6)</f>
        <v/>
      </c>
      <c r="C6" s="3">
        <f t="array" ref="C6">_xlfn.XLOOKUP(A6,country!$A$2:$A$6,country!$C$2:$C$6)</f>
        <v/>
      </c>
      <c r="D6" s="3" t="n">
        <v>30</v>
      </c>
      <c r="E6" s="3" t="n">
        <v>15</v>
      </c>
      <c r="F6" s="3" t="n">
        <v>1</v>
      </c>
      <c r="G6" s="13" t="n">
        <v>1</v>
      </c>
      <c r="H6" s="13" t="inlineStr">
        <is>
          <t>起動(通信確立)</t>
        </is>
      </c>
      <c r="I6" s="13" t="inlineStr">
        <is>
          <t>この衛星が通信確立する際、通信確立コスト-2</t>
        </is>
      </c>
      <c r="J6" s="3" t="inlineStr">
        <is>
          <t>stealth</t>
        </is>
      </c>
      <c r="K6" s="3">
        <f>upper(J6)</f>
        <v/>
      </c>
      <c r="L6" s="3" t="inlineStr">
        <is>
          <t>2x8=16</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B7"/>
  <sheetViews>
    <sheetView workbookViewId="0">
      <selection activeCell="A1" sqref="A1"/>
    </sheetView>
  </sheetViews>
  <sheetFormatPr baseColWidth="8" defaultColWidth="12.63" defaultRowHeight="15.75" customHeight="1"/>
  <cols>
    <col width="6.88" customWidth="1" style="17" min="1" max="1"/>
  </cols>
  <sheetData>
    <row r="1">
      <c r="A1" s="3" t="inlineStr">
        <is>
          <t>angle</t>
        </is>
      </c>
      <c r="B1" s="3" t="inlineStr">
        <is>
          <t>direction</t>
        </is>
      </c>
    </row>
    <row r="2">
      <c r="A2" s="3" t="inlineStr">
        <is>
          <t>左</t>
        </is>
      </c>
      <c r="B2" s="3" t="inlineStr">
        <is>
          <t>西</t>
        </is>
      </c>
    </row>
    <row r="3">
      <c r="A3" s="3" t="inlineStr">
        <is>
          <t>右</t>
        </is>
      </c>
      <c r="B3" s="3" t="inlineStr">
        <is>
          <t>東</t>
        </is>
      </c>
    </row>
    <row r="4">
      <c r="A4" s="3" t="inlineStr">
        <is>
          <t>左上</t>
        </is>
      </c>
      <c r="B4" s="3" t="inlineStr">
        <is>
          <t>北西</t>
        </is>
      </c>
    </row>
    <row r="5">
      <c r="A5" s="3" t="inlineStr">
        <is>
          <t>右上</t>
        </is>
      </c>
      <c r="B5" s="3" t="inlineStr">
        <is>
          <t>北東</t>
        </is>
      </c>
    </row>
    <row r="6">
      <c r="A6" s="3" t="inlineStr">
        <is>
          <t>左下</t>
        </is>
      </c>
      <c r="B6" s="3" t="inlineStr">
        <is>
          <t>南西</t>
        </is>
      </c>
    </row>
    <row r="7">
      <c r="A7" s="3" t="inlineStr">
        <is>
          <t>右下</t>
        </is>
      </c>
      <c r="B7" s="3" t="inlineStr">
        <is>
          <t>南東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2026-10-15T08:34:26Z</dcterms:created>
  <dcterms:modified xsi:type="dcterms:W3CDTF">2026-10-15T12:02:00Z</dcterms:modified>
</cp:coreProperties>
</file>